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mbers" sheetId="1" r:id="rId5"/>
    <sheet state="visible" name="Methodology" sheetId="2" r:id="rId6"/>
  </sheets>
  <definedNames/>
  <calcPr/>
</workbook>
</file>

<file path=xl/sharedStrings.xml><?xml version="1.0" encoding="utf-8"?>
<sst xmlns="http://schemas.openxmlformats.org/spreadsheetml/2006/main" count="281" uniqueCount="177">
  <si>
    <t>Station(s)</t>
  </si>
  <si>
    <t># Stations</t>
  </si>
  <si>
    <t>Housing units</t>
  </si>
  <si>
    <t>Planned Connections</t>
  </si>
  <si>
    <t>Housing units notes</t>
  </si>
  <si>
    <t>Farmington FrontRunner</t>
  </si>
  <si>
    <t>Listed in plan</t>
  </si>
  <si>
    <t>Ballpark TRAX</t>
  </si>
  <si>
    <t>4800 W Old Bingham Hwy TRAX (S Jordan)</t>
  </si>
  <si>
    <t>n/a</t>
  </si>
  <si>
    <t>Impracticable/Prior actions</t>
  </si>
  <si>
    <t>Roy FrontRunner (Roy &amp; West Haven)</t>
  </si>
  <si>
    <t>13 Salt Lake City downtown stations</t>
  </si>
  <si>
    <t>Prior actions</t>
  </si>
  <si>
    <t>Over 9,000 housing units built or permitted between 2016 and 2022</t>
  </si>
  <si>
    <t>Bingham Junction TRAX (Midvale &amp; W Jordan)</t>
  </si>
  <si>
    <t>Historic Gardner TRAX (W Jordan &amp; Midvale)</t>
  </si>
  <si>
    <t>West Jordan City Center TRAX</t>
  </si>
  <si>
    <t>Midvale Ft Union TRAX (Midvale &amp; Murray)</t>
  </si>
  <si>
    <t>Methodology tab</t>
  </si>
  <si>
    <t>Midvale Center TRAX</t>
  </si>
  <si>
    <t>Woods Cross FrontRunner (Bountiful, W Bountiful, &amp; Woods Cross)</t>
  </si>
  <si>
    <t>Murray North TRAX (Murray &amp; Millcreek)</t>
  </si>
  <si>
    <t>Clearfield FrontRunner (Clearfield &amp; Layton)</t>
  </si>
  <si>
    <t>Lehi FrontRunner</t>
  </si>
  <si>
    <t>South Jordan TRAX (3 unique stations)</t>
  </si>
  <si>
    <t>Sandy TRAX (3 unique stations)</t>
  </si>
  <si>
    <t>Draper Town Center TRAX</t>
  </si>
  <si>
    <t>Listed in plan, plus estimate for other sites</t>
  </si>
  <si>
    <t>Taylorsville Expressway BRT (3 stations)</t>
  </si>
  <si>
    <t>5600 W Old Bingham Hwy (W Jordan &amp; S Jordan)</t>
  </si>
  <si>
    <t>North Lehi SAP</t>
  </si>
  <si>
    <t>South Jordan FrontRunner (S Jordan &amp; Sandy)</t>
  </si>
  <si>
    <t>Layton FrontRunner</t>
  </si>
  <si>
    <t>Crescent View TRAX (Sandy &amp; Draper)</t>
  </si>
  <si>
    <t>Listed in plan, methodology tab</t>
  </si>
  <si>
    <t>Kimballs Lane TRAX (Draper)</t>
  </si>
  <si>
    <t>Draper FrontRunner (Draper &amp; Riverton)</t>
  </si>
  <si>
    <t>River Trail TRAX (West Valley City, Salt Lake City)</t>
  </si>
  <si>
    <t>Redwood Junction TRAX</t>
  </si>
  <si>
    <t>Decker Lake TRAX</t>
  </si>
  <si>
    <t>West Valley Central TRAX</t>
  </si>
  <si>
    <t>over 1,000 units previously planned and built/under construction</t>
  </si>
  <si>
    <t>Central Pointe &amp; SSL TRAX/Streetcar</t>
  </si>
  <si>
    <t>Lehi Hospital &amp; 2100 N BRT</t>
  </si>
  <si>
    <t>Provo UVX: 2230 N, Joaquin, Academy Square, 300 N, Center St, &amp; 400 S
Provo FrontRunner</t>
  </si>
  <si>
    <t>Ogden FrontRunner</t>
  </si>
  <si>
    <t xml:space="preserve">Ogden OGX: 32nd St, 36th St, Weber State Central, Wildcat Village, Dee Events Center </t>
  </si>
  <si>
    <t>From consultant</t>
  </si>
  <si>
    <t>Millcreek &amp; Meadowbrook TRAX (SSL, Millcreek, Murray)</t>
  </si>
  <si>
    <t>American Fork FrontRunner (American Fork &amp; Lehi)</t>
  </si>
  <si>
    <t>Vineyard FrontRunner</t>
  </si>
  <si>
    <t>Orem FrontRunner (Orem &amp; Vineyard)</t>
  </si>
  <si>
    <t>Lakeview, Main St, &amp; University Place UVX</t>
  </si>
  <si>
    <t>Impracticable</t>
  </si>
  <si>
    <t>Airport, River Trail, &amp; U of U TRAX</t>
  </si>
  <si>
    <t>Fashion Place West TRAX</t>
  </si>
  <si>
    <t>Total (certified only)</t>
  </si>
  <si>
    <t>Extended to all future new plans, this could mean &gt;120,400 new housing units (95 total stations)</t>
  </si>
  <si>
    <t>Total (pending certified)</t>
  </si>
  <si>
    <t>Extended to all future new plans, this could mean &gt;119,700 new housing units (95 total stations)</t>
  </si>
  <si>
    <t>Clearfield FrontRunner</t>
  </si>
  <si>
    <t>Givens:</t>
  </si>
  <si>
    <t>Acres, Housing Type, # floors</t>
  </si>
  <si>
    <t>Assumptions:</t>
  </si>
  <si>
    <t>Medium Residential (3 story walk-up)</t>
  </si>
  <si>
    <t>Only __% of acreage is actually for housing units</t>
  </si>
  <si>
    <t>Mixed-Use</t>
  </si>
  <si>
    <t>no first floor housing units</t>
  </si>
  <si>
    <t>Higher Density residential</t>
  </si>
  <si>
    <t>25% first floor for non-housing</t>
  </si>
  <si>
    <t>Analysis:</t>
  </si>
  <si>
    <t>Medium-density residential</t>
  </si>
  <si>
    <r>
      <rPr/>
      <t xml:space="preserve">112.1 acres, 3 stories, </t>
    </r>
    <r>
      <rPr>
        <color rgb="FF1155CC"/>
        <u/>
      </rPr>
      <t>Clearfield Station Apartments</t>
    </r>
    <r>
      <rPr/>
      <t xml:space="preserve"> as reference</t>
    </r>
  </si>
  <si>
    <t>Clearfield Station</t>
  </si>
  <si>
    <t>216 units, 8 buildings w/ 3 stories, surface parking, 9.5 total acres, 2.0 building acres, 21% acreage goes to housing, 3 stories yields 6 housing acres, 13.5 units/housing acre</t>
  </si>
  <si>
    <t>112.1 acres * 21% * 3 stories =</t>
  </si>
  <si>
    <t>70.6 housing acres</t>
  </si>
  <si>
    <t>70.6 housing acres * 13.5 units/housing acre =</t>
  </si>
  <si>
    <t>housing units</t>
  </si>
  <si>
    <t>Low-density mixed use</t>
  </si>
  <si>
    <r>
      <rPr/>
      <t xml:space="preserve">4.3 acres, 4 stories, 3 stories housing, </t>
    </r>
    <r>
      <rPr>
        <color rgb="FF1155CC"/>
        <u/>
      </rPr>
      <t>City Centre Apartments</t>
    </r>
    <r>
      <rPr/>
      <t xml:space="preserve"> as reference</t>
    </r>
  </si>
  <si>
    <t>City Centre</t>
  </si>
  <si>
    <t>123 units, 4 stories, surface &amp; garage parking, 2.56 total acres, 1.13 building acres, 44% acreage goes to housing, 4 stories yields 4.52 housing acres, 27.2 units/housing acre</t>
  </si>
  <si>
    <t>4.3 acres * 44% * 3 stories =</t>
  </si>
  <si>
    <t>5.68 housing acres</t>
  </si>
  <si>
    <t>5.68 housing acres * 27.2 units/housing acre =</t>
  </si>
  <si>
    <t>Medium-density mixed use</t>
  </si>
  <si>
    <r>
      <rPr/>
      <t xml:space="preserve">11.6 acres, 8 stories, 7 stories housing, </t>
    </r>
    <r>
      <rPr>
        <color rgb="FF1155CC"/>
        <u/>
      </rPr>
      <t>City Centre Apartments</t>
    </r>
    <r>
      <rPr/>
      <t xml:space="preserve"> as reference</t>
    </r>
  </si>
  <si>
    <t>11.6 acres * 44% * 7 stories =</t>
  </si>
  <si>
    <t>35.73 housing acres</t>
  </si>
  <si>
    <t>35.73 housing acres * 27.2 units/housing acre =</t>
  </si>
  <si>
    <t>Total Housing Units</t>
  </si>
  <si>
    <t>Midvale Fort Union TRAX</t>
  </si>
  <si>
    <t>Mixed Use</t>
  </si>
  <si>
    <r>
      <rPr/>
      <t xml:space="preserve">19.3 acres, 4-7 stories, 3-6 stories housing, </t>
    </r>
    <r>
      <rPr>
        <color rgb="FF1155CC"/>
        <u/>
      </rPr>
      <t>Murray Depot Apartments</t>
    </r>
    <r>
      <rPr/>
      <t xml:space="preserve"> as reference</t>
    </r>
  </si>
  <si>
    <t>Murray Depot</t>
  </si>
  <si>
    <t>93 units, 5 stories, surface parking, 1.72 total acres, 1.00 building acres, 58% acreage for building, 4 stories yields 4.0 housing acres, 23.25 units/housing acre</t>
  </si>
  <si>
    <t>19.3 acres * 58% * 6 stories =</t>
  </si>
  <si>
    <t>67.16 housing acres</t>
  </si>
  <si>
    <t>67.16 housing acres * 23.25 units/housing acre =</t>
  </si>
  <si>
    <t>Multi-family residential</t>
  </si>
  <si>
    <r>
      <rPr/>
      <t xml:space="preserve">33.6 acres, 4-7 stories, </t>
    </r>
    <r>
      <rPr>
        <color rgb="FF1155CC"/>
        <u/>
      </rPr>
      <t>Station at Midvale</t>
    </r>
    <r>
      <rPr/>
      <t xml:space="preserve"> as reference</t>
    </r>
  </si>
  <si>
    <t>Station at Midvale</t>
  </si>
  <si>
    <t>186 units, 5 stories, surface &amp; garage parking, 3.47 total acres, 1.33 building acres, 38% acreage for building, 5 stories (minus non-housing) yields 6.4 housing acres, 29 units/housing acre</t>
  </si>
  <si>
    <t>33.6 acres * 38% * 6.75 stories =</t>
  </si>
  <si>
    <t>86.18 housing acres</t>
  </si>
  <si>
    <t>86.18 housing acres * 29 units/housing acre =</t>
  </si>
  <si>
    <t>Single-family residential</t>
  </si>
  <si>
    <r>
      <rPr/>
      <t xml:space="preserve">8.5 acres, 4-7 stories, 3-6 stories housing, </t>
    </r>
    <r>
      <rPr>
        <color rgb="FF1155CC"/>
        <u/>
      </rPr>
      <t>Murray Depot Apartments</t>
    </r>
    <r>
      <rPr/>
      <t xml:space="preserve"> as reference</t>
    </r>
  </si>
  <si>
    <t>8.5 acres * 58% * 6 stories =</t>
  </si>
  <si>
    <t>29.58 housing acres</t>
  </si>
  <si>
    <t>29.58 housing acres * 23.25 units/housing acre =</t>
  </si>
  <si>
    <r>
      <rPr/>
      <t xml:space="preserve">1.10 acres, 4-7 stories, </t>
    </r>
    <r>
      <rPr>
        <color rgb="FF1155CC"/>
        <u/>
      </rPr>
      <t>Station at Midvale</t>
    </r>
    <r>
      <rPr/>
      <t xml:space="preserve"> as reference</t>
    </r>
  </si>
  <si>
    <t>1.10 acres * 38% * 6.75 stories =</t>
  </si>
  <si>
    <t>2.82 housing acres</t>
  </si>
  <si>
    <t>2.82 housing acres * 29 units/housing acre =</t>
  </si>
  <si>
    <t>Murray North TRAX</t>
  </si>
  <si>
    <r>
      <rPr/>
      <t xml:space="preserve">122.2 acres, 6-7 stories, 5-6 stories housing, </t>
    </r>
    <r>
      <rPr>
        <color rgb="FF1155CC"/>
        <u/>
      </rPr>
      <t>Murray Depot Apartments</t>
    </r>
    <r>
      <rPr/>
      <t xml:space="preserve"> as reference</t>
    </r>
  </si>
  <si>
    <t>122.2 acres * 58% * 6 stories =</t>
  </si>
  <si>
    <t>425.26 housing acres</t>
  </si>
  <si>
    <t>425.26 housing acres * 23.25 units/housing acre =</t>
  </si>
  <si>
    <r>
      <rPr/>
      <t xml:space="preserve">46.9 acres, 4-7 stories, </t>
    </r>
    <r>
      <rPr>
        <color rgb="FF1155CC"/>
        <u/>
      </rPr>
      <t>Station at Midvale</t>
    </r>
    <r>
      <rPr/>
      <t xml:space="preserve"> as reference</t>
    </r>
  </si>
  <si>
    <t>46.9 acres * 38% * 6.75 stories =</t>
  </si>
  <si>
    <t>120.30 housing acres</t>
  </si>
  <si>
    <t>120.30 housing acres * 29 units/housing acre =</t>
  </si>
  <si>
    <r>
      <rPr/>
      <t xml:space="preserve">13.5 acres, 6 stories, 5 stories housing, </t>
    </r>
    <r>
      <rPr>
        <color rgb="FF1155CC"/>
        <u/>
      </rPr>
      <t>Kay's Crossing Apartments</t>
    </r>
    <r>
      <rPr/>
      <t xml:space="preserve"> as reference</t>
    </r>
  </si>
  <si>
    <t>Kay's Crossing</t>
  </si>
  <si>
    <t>156 units, 4 stories, garage parking, 2.76 total acres, 1.21 building acres, 44% acreage for building, 4 stories housing yields 4.84 housing acres, 32 units/housing acre</t>
  </si>
  <si>
    <t>13.5 acres * 44% * 5 stories =</t>
  </si>
  <si>
    <t>29.7 housing acres</t>
  </si>
  <si>
    <t>29.7 housing acres * 32 units/housing acre =</t>
  </si>
  <si>
    <t>Woods Cross FrontRunner</t>
  </si>
  <si>
    <t>Low density residential</t>
  </si>
  <si>
    <t>sf homes; 64 acres; .2 acre lot size; 1200/1300 S neighborhood as reference</t>
  </si>
  <si>
    <t>1200/1300 S neighborhood</t>
  </si>
  <si>
    <t>51 units, 14.1 total acres, 3.6 units/acre</t>
  </si>
  <si>
    <t>64 acres * 3.6 units/acre =</t>
  </si>
  <si>
    <t>Middle density residential</t>
  </si>
  <si>
    <t>Townhomes; 33 acres; Madison Square Town Houses for reference</t>
  </si>
  <si>
    <t>Madison Square Town Homes</t>
  </si>
  <si>
    <t>46 units, 2.9 total acres, 15.9 units/acre</t>
  </si>
  <si>
    <t>33 acres * 15.9 units/acre =</t>
  </si>
  <si>
    <t>Multifamily</t>
  </si>
  <si>
    <r>
      <rPr/>
      <t xml:space="preserve">19.6 acres; 3 stories, </t>
    </r>
    <r>
      <rPr>
        <color rgb="FF1155CC"/>
        <u/>
      </rPr>
      <t>The Park at Bountiful</t>
    </r>
    <r>
      <rPr/>
      <t xml:space="preserve"> as reference</t>
    </r>
  </si>
  <si>
    <t>The Park at Bountiful</t>
  </si>
  <si>
    <t>139 units, 2 stories, covered parking, 7.60 total acres, 1.73 building acres, 23% acreage for building, 2 stories housing yields 3.46 housing acres, 40 units/housing acre</t>
  </si>
  <si>
    <t>19.6 acres * 23% * 3 stories =</t>
  </si>
  <si>
    <t>13.5 housing acres</t>
  </si>
  <si>
    <t>13.5 housing acres * 40 units/housing acre =</t>
  </si>
  <si>
    <t>Kimballs Lane</t>
  </si>
  <si>
    <r>
      <rPr/>
      <t xml:space="preserve">2.5 acres, 4 stories, 3 stories housing, </t>
    </r>
    <r>
      <rPr>
        <color rgb="FF1155CC"/>
        <u/>
      </rPr>
      <t>Parc West Apartments</t>
    </r>
    <r>
      <rPr/>
      <t xml:space="preserve"> as reference</t>
    </r>
  </si>
  <si>
    <t>Parc West</t>
  </si>
  <si>
    <t>249 units, 4 stories, surface parking, 7.0 total acres, 2.0 building acres, 29% acreage for building, 4 stories housing yields 8.0 housing acres, 31.125 units/housing acre</t>
  </si>
  <si>
    <t>2.5 acres * 29% * 3 stories =</t>
  </si>
  <si>
    <t>2.175 housing acres</t>
  </si>
  <si>
    <t>2.175 housing acres * 31.125 units/housing acre =</t>
  </si>
  <si>
    <t>Crescent View</t>
  </si>
  <si>
    <r>
      <rPr/>
      <t xml:space="preserve">1.2 acres, 3 stories, 2 stories housing, </t>
    </r>
    <r>
      <rPr>
        <color rgb="FF1155CC"/>
        <u/>
      </rPr>
      <t>Parc West Apartments</t>
    </r>
    <r>
      <rPr/>
      <t xml:space="preserve"> as reference</t>
    </r>
  </si>
  <si>
    <t>1.2 acres * 29% * 2 stories =</t>
  </si>
  <si>
    <t>.70 housing acres</t>
  </si>
  <si>
    <t>.70 housing acres * 31.125 units/housing acre =</t>
  </si>
  <si>
    <t>American Fork FrontRunner</t>
  </si>
  <si>
    <t>Transit Core</t>
  </si>
  <si>
    <r>
      <rPr/>
      <t xml:space="preserve">103 acres, 3-7 (5) stories, 4 stories housing, </t>
    </r>
    <r>
      <rPr>
        <color rgb="FF1155CC"/>
        <u/>
      </rPr>
      <t>Ember Peaks</t>
    </r>
    <r>
      <rPr/>
      <t xml:space="preserve"> as reference</t>
    </r>
  </si>
  <si>
    <t>Ember Peaks</t>
  </si>
  <si>
    <t>320 units, 5 stories, surface parking, 10 total acres, 2 building acres, 20% acreage for building, 4.75 stories yields 9.5 housing acres, 33.68 units/housing acre</t>
  </si>
  <si>
    <t>103 acres * 20% * 4 stories =</t>
  </si>
  <si>
    <t>82.4 housing acres</t>
  </si>
  <si>
    <t>82.4 housing acres * 33.68 units/housing acre =</t>
  </si>
  <si>
    <t>Urban Apartments</t>
  </si>
  <si>
    <r>
      <rPr/>
      <t xml:space="preserve">48.5 acres, 5 stories, 4 stories housing, </t>
    </r>
    <r>
      <rPr>
        <color rgb="FF1155CC"/>
        <u/>
      </rPr>
      <t>120 Bend</t>
    </r>
    <r>
      <rPr/>
      <t xml:space="preserve"> as reference</t>
    </r>
  </si>
  <si>
    <t>120 Bend</t>
  </si>
  <si>
    <t>453 units, 4 stories, surface parking, 10.8 total acres, 2.84 building acres, 26% acreage for building, 4 stories yields 6.84 housing acres, 66.23 units/housing acre</t>
  </si>
  <si>
    <t>48.5 acres * 26% * 4 stories =</t>
  </si>
  <si>
    <t>50.4 housing acres</t>
  </si>
  <si>
    <t>50.4 housing acres * 66.23 units/housing acre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</si>
</sst>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9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i/>
      <sz val="15.0"/>
      <color theme="1"/>
      <name val="Arial"/>
      <scheme val="minor"/>
    </font>
    <font>
      <sz val="15.0"/>
      <color rgb="FF000000"/>
      <name val="Roboto"/>
    </font>
    <font>
      <i/>
      <sz val="15.0"/>
      <color rgb="FF000000"/>
      <name val="Roboto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horizontal="center" readingOrder="0" vertical="center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2" numFmtId="0" xfId="0" applyAlignment="1" applyFont="1">
      <alignment readingOrder="0" shrinkToFit="0" wrapText="1"/>
    </xf>
    <xf borderId="0" fillId="3" fontId="1" numFmtId="0" xfId="0" applyAlignment="1" applyFill="1" applyFont="1">
      <alignment readingOrder="0"/>
    </xf>
    <xf borderId="0" fillId="3" fontId="1" numFmtId="3" xfId="0" applyAlignment="1" applyFont="1" applyNumberFormat="1">
      <alignment horizontal="center" vertic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2" xfId="0" applyAlignment="1" applyFont="1" applyNumberFormat="1">
      <alignment horizontal="center"/>
    </xf>
    <xf borderId="0" fillId="2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6" numFmtId="3" xfId="0" applyAlignment="1" applyFont="1" applyNumberFormat="1">
      <alignment readingOrder="0"/>
    </xf>
    <xf borderId="0" fillId="4" fontId="6" numFmtId="0" xfId="0" applyAlignment="1" applyFill="1" applyFont="1">
      <alignment readingOrder="0"/>
    </xf>
    <xf borderId="0" fillId="4" fontId="6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partments.com/the-park-at-bountiful-bountiful-ut/edvg6zp/" TargetMode="External"/><Relationship Id="rId10" Type="http://schemas.openxmlformats.org/officeDocument/2006/relationships/hyperlink" Target="https://www.apartments.com/kays-crossing-layton-ut/083dzd2/" TargetMode="External"/><Relationship Id="rId13" Type="http://schemas.openxmlformats.org/officeDocument/2006/relationships/hyperlink" Target="https://www.apartments.com/parc-west-apartments-draper-ut/f8tpwyv/" TargetMode="External"/><Relationship Id="rId12" Type="http://schemas.openxmlformats.org/officeDocument/2006/relationships/hyperlink" Target="https://www.apartments.com/parc-west-apartments-draper-ut/f8tpwyv/" TargetMode="External"/><Relationship Id="rId1" Type="http://schemas.openxmlformats.org/officeDocument/2006/relationships/hyperlink" Target="https://www.clearfieldstation.com/" TargetMode="External"/><Relationship Id="rId2" Type="http://schemas.openxmlformats.org/officeDocument/2006/relationships/hyperlink" Target="https://www.citycentre-apts.com/amenities" TargetMode="External"/><Relationship Id="rId3" Type="http://schemas.openxmlformats.org/officeDocument/2006/relationships/hyperlink" Target="https://www.citycentre-apts.com/" TargetMode="External"/><Relationship Id="rId4" Type="http://schemas.openxmlformats.org/officeDocument/2006/relationships/hyperlink" Target="https://murraydepot.com/" TargetMode="External"/><Relationship Id="rId9" Type="http://schemas.openxmlformats.org/officeDocument/2006/relationships/hyperlink" Target="https://stationatmidvale.com/" TargetMode="External"/><Relationship Id="rId15" Type="http://schemas.openxmlformats.org/officeDocument/2006/relationships/hyperlink" Target="https://www.apartments.com/120-220-bend-vineyard-ut/mkc2r7k/" TargetMode="External"/><Relationship Id="rId14" Type="http://schemas.openxmlformats.org/officeDocument/2006/relationships/hyperlink" Target="https://www.apartments.com/ember-peaks-at-american-fork-american-fork-ut/pkbtmxv/?gclsrc=aw.ds&amp;gad_source=1&amp;gad_campaignid=202672380&amp;gbraid=0AAAAAD-mAW0wdnUkq1RsilMJlOE3CplVf&amp;gclid=Cj0KCQiAxJXJBhD_ARIsAH_JGjilKo-LYHnrlBYRoGDT964zZKKraCCz6M_tHNWpO9OXbLBkpgUxjk4aAmJREALw_wcB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stationatmidvale.com/" TargetMode="External"/><Relationship Id="rId6" Type="http://schemas.openxmlformats.org/officeDocument/2006/relationships/hyperlink" Target="https://murraydepot.com/" TargetMode="External"/><Relationship Id="rId7" Type="http://schemas.openxmlformats.org/officeDocument/2006/relationships/hyperlink" Target="https://stationatmidvale.com/" TargetMode="External"/><Relationship Id="rId8" Type="http://schemas.openxmlformats.org/officeDocument/2006/relationships/hyperlink" Target="https://murraydepo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6.63"/>
    <col customWidth="1" min="2" max="2" width="13.0"/>
    <col customWidth="1" min="3" max="4" width="26.88"/>
    <col customWidth="1" min="5" max="5" width="32.0"/>
    <col customWidth="1" min="6" max="28" width="2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5</v>
      </c>
      <c r="B2" s="5">
        <v>1.0</v>
      </c>
      <c r="C2" s="5">
        <v>4417.0</v>
      </c>
      <c r="D2" s="5">
        <v>3.0</v>
      </c>
      <c r="E2" s="6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4" t="s">
        <v>7</v>
      </c>
      <c r="B3" s="5">
        <v>1.0</v>
      </c>
      <c r="C3" s="5">
        <v>1100.0</v>
      </c>
      <c r="D3" s="5">
        <v>9.0</v>
      </c>
      <c r="E3" s="6" t="s">
        <v>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4" t="s">
        <v>8</v>
      </c>
      <c r="B4" s="7">
        <v>1.0</v>
      </c>
      <c r="C4" s="7" t="s">
        <v>9</v>
      </c>
      <c r="D4" s="7" t="s">
        <v>9</v>
      </c>
      <c r="E4" s="6" t="s">
        <v>10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4" t="s">
        <v>11</v>
      </c>
      <c r="B5" s="5">
        <v>1.0</v>
      </c>
      <c r="C5" s="5">
        <v>2052.0</v>
      </c>
      <c r="D5" s="5">
        <v>9.0</v>
      </c>
      <c r="E5" s="6" t="s">
        <v>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4" t="s">
        <v>12</v>
      </c>
      <c r="B6" s="7">
        <v>13.0</v>
      </c>
      <c r="C6" s="7" t="s">
        <v>9</v>
      </c>
      <c r="D6" s="7" t="s">
        <v>9</v>
      </c>
      <c r="E6" s="6" t="s">
        <v>13</v>
      </c>
      <c r="F6" s="8" t="s">
        <v>14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4" t="s">
        <v>15</v>
      </c>
      <c r="B7" s="5">
        <v>1.0</v>
      </c>
      <c r="C7" s="5">
        <v>73.0</v>
      </c>
      <c r="D7" s="5">
        <v>1.0</v>
      </c>
      <c r="E7" s="6" t="s">
        <v>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4" t="s">
        <v>16</v>
      </c>
      <c r="B8" s="5">
        <v>1.0</v>
      </c>
      <c r="C8" s="5">
        <v>917.0</v>
      </c>
      <c r="D8" s="5">
        <v>0.0</v>
      </c>
      <c r="E8" s="6" t="s">
        <v>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4" t="s">
        <v>17</v>
      </c>
      <c r="B9" s="5">
        <v>1.0</v>
      </c>
      <c r="C9" s="5">
        <v>2300.0</v>
      </c>
      <c r="D9" s="5">
        <v>0.0</v>
      </c>
      <c r="E9" s="6" t="s">
        <v>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4" t="s">
        <v>18</v>
      </c>
      <c r="B10" s="5">
        <v>1.0</v>
      </c>
      <c r="C10" s="5">
        <v>4284.0</v>
      </c>
      <c r="D10" s="5">
        <v>6.0</v>
      </c>
      <c r="E10" s="6" t="s">
        <v>19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4" t="s">
        <v>20</v>
      </c>
      <c r="B11" s="5">
        <v>1.0</v>
      </c>
      <c r="C11" s="5">
        <v>816.0</v>
      </c>
      <c r="D11" s="5">
        <v>7.0</v>
      </c>
      <c r="E11" s="6" t="s">
        <v>19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4" t="s">
        <v>21</v>
      </c>
      <c r="B12" s="7">
        <v>1.0</v>
      </c>
      <c r="C12" s="5">
        <v>1293.0</v>
      </c>
      <c r="D12" s="7">
        <v>16.0</v>
      </c>
      <c r="E12" s="6" t="s">
        <v>19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4" t="s">
        <v>22</v>
      </c>
      <c r="B13" s="5">
        <v>1.0</v>
      </c>
      <c r="C13" s="5">
        <v>4362.0</v>
      </c>
      <c r="D13" s="5">
        <v>17.0</v>
      </c>
      <c r="E13" s="6" t="s">
        <v>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4" t="s">
        <v>23</v>
      </c>
      <c r="B14" s="5">
        <v>1.0</v>
      </c>
      <c r="C14" s="5">
        <v>2079.0</v>
      </c>
      <c r="D14" s="5">
        <v>8.0</v>
      </c>
      <c r="E14" s="6" t="s">
        <v>19</v>
      </c>
      <c r="F14" s="9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4" t="s">
        <v>24</v>
      </c>
      <c r="B15" s="5">
        <v>1.0</v>
      </c>
      <c r="C15" s="5">
        <v>200.0</v>
      </c>
      <c r="D15" s="5">
        <v>2.0</v>
      </c>
      <c r="E15" s="6" t="s">
        <v>6</v>
      </c>
      <c r="F15" s="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4" t="s">
        <v>25</v>
      </c>
      <c r="B16" s="5">
        <v>3.0</v>
      </c>
      <c r="C16" s="5">
        <v>11580.0</v>
      </c>
      <c r="D16" s="5">
        <v>13.0</v>
      </c>
      <c r="E16" s="6" t="s">
        <v>6</v>
      </c>
      <c r="F16" s="9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4" t="s">
        <v>26</v>
      </c>
      <c r="B17" s="5">
        <v>3.0</v>
      </c>
      <c r="C17" s="5">
        <v>3960.0</v>
      </c>
      <c r="D17" s="5">
        <v>21.0</v>
      </c>
      <c r="E17" s="6" t="s">
        <v>6</v>
      </c>
      <c r="F17" s="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4" t="s">
        <v>27</v>
      </c>
      <c r="B18" s="5">
        <v>1.0</v>
      </c>
      <c r="C18" s="5">
        <f>SUM(535 + 300)</f>
        <v>835</v>
      </c>
      <c r="D18" s="5">
        <v>7.0</v>
      </c>
      <c r="E18" s="10" t="s">
        <v>28</v>
      </c>
      <c r="F18" s="9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4" t="s">
        <v>29</v>
      </c>
      <c r="B19" s="5">
        <v>4.0</v>
      </c>
      <c r="C19" s="5">
        <v>4044.0</v>
      </c>
      <c r="D19" s="5">
        <v>9.0</v>
      </c>
      <c r="E19" s="6" t="s">
        <v>6</v>
      </c>
      <c r="F19" s="9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4" t="s">
        <v>30</v>
      </c>
      <c r="B20" s="5">
        <v>1.0</v>
      </c>
      <c r="C20" s="5">
        <v>3000.0</v>
      </c>
      <c r="D20" s="5">
        <v>5.0</v>
      </c>
      <c r="E20" s="6" t="s">
        <v>6</v>
      </c>
      <c r="F20" s="9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4" t="s">
        <v>31</v>
      </c>
      <c r="B21" s="5">
        <v>1.0</v>
      </c>
      <c r="C21" s="5">
        <v>1064.0</v>
      </c>
      <c r="D21" s="5">
        <v>10.0</v>
      </c>
      <c r="E21" s="6" t="s">
        <v>6</v>
      </c>
      <c r="F21" s="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4" t="s">
        <v>32</v>
      </c>
      <c r="B22" s="5">
        <v>1.0</v>
      </c>
      <c r="C22" s="5">
        <f>595 + 2002</f>
        <v>2597</v>
      </c>
      <c r="D22" s="5">
        <v>4.0</v>
      </c>
      <c r="E22" s="6" t="s">
        <v>6</v>
      </c>
      <c r="F22" s="9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4" t="s">
        <v>33</v>
      </c>
      <c r="B23" s="5">
        <v>1.0</v>
      </c>
      <c r="C23" s="5">
        <v>950.0</v>
      </c>
      <c r="D23" s="5">
        <v>5.0</v>
      </c>
      <c r="E23" s="6" t="s">
        <v>19</v>
      </c>
      <c r="F23" s="9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4" t="s">
        <v>34</v>
      </c>
      <c r="B24" s="5">
        <v>1.0</v>
      </c>
      <c r="C24" s="5">
        <v>95.0</v>
      </c>
      <c r="D24" s="5">
        <v>8.0</v>
      </c>
      <c r="E24" s="10" t="s">
        <v>35</v>
      </c>
      <c r="F24" s="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4" t="s">
        <v>36</v>
      </c>
      <c r="B25" s="5">
        <v>1.0</v>
      </c>
      <c r="C25" s="5">
        <v>588.0</v>
      </c>
      <c r="D25" s="5">
        <v>7.0</v>
      </c>
      <c r="E25" s="10" t="s">
        <v>35</v>
      </c>
      <c r="F25" s="9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4" t="s">
        <v>37</v>
      </c>
      <c r="B26" s="5">
        <v>1.0</v>
      </c>
      <c r="C26" s="5">
        <v>2553.0</v>
      </c>
      <c r="D26" s="5">
        <v>8.0</v>
      </c>
      <c r="E26" s="6" t="s">
        <v>6</v>
      </c>
      <c r="F26" s="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4" t="s">
        <v>38</v>
      </c>
      <c r="B27" s="5">
        <v>1.0</v>
      </c>
      <c r="C27" s="5">
        <v>180.0</v>
      </c>
      <c r="D27" s="5">
        <v>7.0</v>
      </c>
      <c r="E27" s="6" t="s">
        <v>6</v>
      </c>
      <c r="F27" s="9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4" t="s">
        <v>39</v>
      </c>
      <c r="B28" s="5">
        <v>1.0</v>
      </c>
      <c r="C28" s="5">
        <v>550.0</v>
      </c>
      <c r="D28" s="5">
        <v>12.0</v>
      </c>
      <c r="E28" s="6" t="s">
        <v>6</v>
      </c>
      <c r="F28" s="9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4" t="s">
        <v>40</v>
      </c>
      <c r="B29" s="5">
        <v>1.0</v>
      </c>
      <c r="C29" s="5">
        <v>650.0</v>
      </c>
      <c r="D29" s="5">
        <v>4.0</v>
      </c>
      <c r="E29" s="6" t="s">
        <v>6</v>
      </c>
      <c r="F29" s="9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4" t="s">
        <v>41</v>
      </c>
      <c r="B30" s="5">
        <v>1.0</v>
      </c>
      <c r="C30" s="5" t="s">
        <v>9</v>
      </c>
      <c r="D30" s="5" t="s">
        <v>9</v>
      </c>
      <c r="E30" s="6" t="s">
        <v>13</v>
      </c>
      <c r="F30" s="11" t="s">
        <v>42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4" t="s">
        <v>43</v>
      </c>
      <c r="B31" s="5">
        <v>3.0</v>
      </c>
      <c r="C31" s="5">
        <v>5127.0</v>
      </c>
      <c r="D31" s="5">
        <v>4.0</v>
      </c>
      <c r="E31" s="6" t="s">
        <v>6</v>
      </c>
      <c r="F31" s="9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4" t="s">
        <v>44</v>
      </c>
      <c r="B32" s="5">
        <v>2.0</v>
      </c>
      <c r="C32" s="5">
        <v>550.0</v>
      </c>
      <c r="D32" s="5">
        <v>16.0</v>
      </c>
      <c r="E32" s="6" t="s">
        <v>6</v>
      </c>
      <c r="F32" s="9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12" t="s">
        <v>45</v>
      </c>
      <c r="B33" s="5">
        <v>7.0</v>
      </c>
      <c r="C33" s="5">
        <v>13387.0</v>
      </c>
      <c r="D33" s="5">
        <v>13.0</v>
      </c>
      <c r="E33" s="6" t="s">
        <v>6</v>
      </c>
      <c r="F33" s="9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12" t="s">
        <v>46</v>
      </c>
      <c r="B34" s="5">
        <v>1.0</v>
      </c>
      <c r="C34" s="5" t="s">
        <v>9</v>
      </c>
      <c r="D34" s="5" t="s">
        <v>9</v>
      </c>
      <c r="E34" s="6" t="s">
        <v>13</v>
      </c>
      <c r="F34" s="9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12" t="s">
        <v>47</v>
      </c>
      <c r="B35" s="5">
        <v>5.0</v>
      </c>
      <c r="C35" s="5">
        <v>727.0</v>
      </c>
      <c r="D35" s="5">
        <v>18.0</v>
      </c>
      <c r="E35" s="6" t="s">
        <v>48</v>
      </c>
      <c r="F35" s="9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12" t="s">
        <v>49</v>
      </c>
      <c r="B36" s="5">
        <v>2.0</v>
      </c>
      <c r="C36" s="5">
        <v>1403.0</v>
      </c>
      <c r="D36" s="5">
        <v>14.0</v>
      </c>
      <c r="E36" s="6" t="s">
        <v>6</v>
      </c>
      <c r="F36" s="9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12" t="s">
        <v>50</v>
      </c>
      <c r="B37" s="5">
        <v>1.0</v>
      </c>
      <c r="C37" s="5">
        <v>10500.0</v>
      </c>
      <c r="D37" s="5">
        <v>7.0</v>
      </c>
      <c r="E37" s="6" t="s">
        <v>48</v>
      </c>
      <c r="F37" s="9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12" t="s">
        <v>51</v>
      </c>
      <c r="B38" s="5">
        <v>1.0</v>
      </c>
      <c r="C38" s="5">
        <v>11000.0</v>
      </c>
      <c r="D38" s="5">
        <v>12.0</v>
      </c>
      <c r="E38" s="6" t="s">
        <v>48</v>
      </c>
      <c r="F38" s="9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12" t="s">
        <v>52</v>
      </c>
      <c r="B39" s="5">
        <v>1.0</v>
      </c>
      <c r="C39" s="5">
        <v>2425.0</v>
      </c>
      <c r="D39" s="5">
        <v>3.0</v>
      </c>
      <c r="E39" s="6" t="s">
        <v>6</v>
      </c>
      <c r="F39" s="9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12" t="s">
        <v>53</v>
      </c>
      <c r="B40" s="5">
        <v>3.0</v>
      </c>
      <c r="C40" s="5" t="s">
        <v>9</v>
      </c>
      <c r="D40" s="5" t="s">
        <v>9</v>
      </c>
      <c r="E40" s="6" t="s">
        <v>54</v>
      </c>
      <c r="F40" s="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12" t="s">
        <v>55</v>
      </c>
      <c r="B41" s="5">
        <v>6.0</v>
      </c>
      <c r="C41" s="5" t="s">
        <v>9</v>
      </c>
      <c r="D41" s="5" t="s">
        <v>9</v>
      </c>
      <c r="E41" s="6" t="s">
        <v>54</v>
      </c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12" t="s">
        <v>56</v>
      </c>
      <c r="B42" s="5">
        <v>1.0</v>
      </c>
      <c r="C42" s="5">
        <v>7100.0</v>
      </c>
      <c r="D42" s="5">
        <v>6.0</v>
      </c>
      <c r="E42" s="6" t="s">
        <v>48</v>
      </c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12"/>
      <c r="B43" s="5"/>
      <c r="C43" s="5"/>
      <c r="D43" s="5"/>
      <c r="E43" s="6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13" t="s">
        <v>57</v>
      </c>
      <c r="B44" s="14">
        <f>SUM(B2:B33,B37:B40)</f>
        <v>66</v>
      </c>
      <c r="C44" s="14">
        <f t="shared" ref="C44:D44" si="1">SUM(C2:C42)</f>
        <v>108758</v>
      </c>
      <c r="D44" s="14">
        <f t="shared" si="1"/>
        <v>291</v>
      </c>
      <c r="E44" s="1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16"/>
      <c r="C45" s="16"/>
      <c r="D45" s="17">
        <f>SUM(D44/B44)</f>
        <v>4.409090909</v>
      </c>
      <c r="E45" s="1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16"/>
      <c r="C46" s="16">
        <f>SUM(C44/B44)*95</f>
        <v>156545.6061</v>
      </c>
      <c r="D46" s="16"/>
      <c r="E46" s="1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4" t="s">
        <v>58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16"/>
      <c r="C48" s="16"/>
      <c r="D48" s="16"/>
      <c r="E48" s="1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13" t="s">
        <v>59</v>
      </c>
      <c r="B49" s="14">
        <f t="shared" ref="B49:D49" si="2">SUM(B2:B42)</f>
        <v>81</v>
      </c>
      <c r="C49" s="14">
        <f t="shared" si="2"/>
        <v>108758</v>
      </c>
      <c r="D49" s="14">
        <f t="shared" si="2"/>
        <v>291</v>
      </c>
      <c r="E49" s="1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16"/>
      <c r="C50" s="16"/>
      <c r="D50" s="18">
        <f>SUM(D49/B49)</f>
        <v>3.592592593</v>
      </c>
      <c r="E50" s="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16"/>
      <c r="C51" s="16">
        <f>SUM(C49/B49)*95</f>
        <v>127555.679</v>
      </c>
      <c r="D51" s="16"/>
      <c r="E51" s="1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4" t="s">
        <v>60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16"/>
      <c r="C53" s="16"/>
      <c r="D53" s="16"/>
      <c r="E53" s="1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16"/>
      <c r="C54" s="16"/>
      <c r="D54" s="16"/>
      <c r="E54" s="1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16"/>
      <c r="C55" s="16"/>
      <c r="D55" s="16"/>
      <c r="E55" s="1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16"/>
      <c r="C56" s="16"/>
      <c r="D56" s="16"/>
      <c r="E56" s="1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16"/>
      <c r="C57" s="16"/>
      <c r="D57" s="16"/>
      <c r="E57" s="1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16"/>
      <c r="C58" s="16"/>
      <c r="D58" s="16"/>
      <c r="E58" s="1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16"/>
      <c r="C59" s="16"/>
      <c r="D59" s="16"/>
      <c r="E59" s="1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16"/>
      <c r="C60" s="16"/>
      <c r="D60" s="16"/>
      <c r="E60" s="1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16"/>
      <c r="C61" s="16"/>
      <c r="D61" s="16"/>
      <c r="E61" s="1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16"/>
      <c r="C62" s="16"/>
      <c r="D62" s="16"/>
      <c r="E62" s="1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16"/>
      <c r="C63" s="16"/>
      <c r="D63" s="16"/>
      <c r="E63" s="1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16"/>
      <c r="C64" s="16"/>
      <c r="D64" s="16"/>
      <c r="E64" s="1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16"/>
      <c r="C65" s="16"/>
      <c r="D65" s="16"/>
      <c r="E65" s="1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16"/>
      <c r="C66" s="16"/>
      <c r="D66" s="16"/>
      <c r="E66" s="1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16"/>
      <c r="C67" s="16"/>
      <c r="D67" s="16"/>
      <c r="E67" s="1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16"/>
      <c r="C68" s="16"/>
      <c r="D68" s="16"/>
      <c r="E68" s="1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16"/>
      <c r="C69" s="16"/>
      <c r="D69" s="16"/>
      <c r="E69" s="1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16"/>
      <c r="C70" s="16"/>
      <c r="D70" s="16"/>
      <c r="E70" s="1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16"/>
      <c r="C71" s="16"/>
      <c r="D71" s="16"/>
      <c r="E71" s="1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16"/>
      <c r="C72" s="16"/>
      <c r="D72" s="16"/>
      <c r="E72" s="1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16"/>
      <c r="C73" s="16"/>
      <c r="D73" s="16"/>
      <c r="E73" s="1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16"/>
      <c r="C74" s="16"/>
      <c r="D74" s="16"/>
      <c r="E74" s="1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16"/>
      <c r="C75" s="16"/>
      <c r="D75" s="16"/>
      <c r="E75" s="1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16"/>
      <c r="C76" s="16"/>
      <c r="D76" s="16"/>
      <c r="E76" s="1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16"/>
      <c r="C77" s="16"/>
      <c r="D77" s="16"/>
      <c r="E77" s="1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16"/>
      <c r="C78" s="16"/>
      <c r="D78" s="16"/>
      <c r="E78" s="1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16"/>
      <c r="C79" s="16"/>
      <c r="D79" s="16"/>
      <c r="E79" s="1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16"/>
      <c r="C80" s="16"/>
      <c r="D80" s="16"/>
      <c r="E80" s="1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16"/>
      <c r="C81" s="16"/>
      <c r="D81" s="16"/>
      <c r="E81" s="1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16"/>
      <c r="C82" s="16"/>
      <c r="D82" s="16"/>
      <c r="E82" s="1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16"/>
      <c r="C83" s="16"/>
      <c r="D83" s="16"/>
      <c r="E83" s="1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16"/>
      <c r="C84" s="16"/>
      <c r="D84" s="16"/>
      <c r="E84" s="1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16"/>
      <c r="C85" s="16"/>
      <c r="D85" s="16"/>
      <c r="E85" s="1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16"/>
      <c r="C86" s="16"/>
      <c r="D86" s="16"/>
      <c r="E86" s="1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16"/>
      <c r="C87" s="16"/>
      <c r="D87" s="16"/>
      <c r="E87" s="1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16"/>
      <c r="C88" s="16"/>
      <c r="D88" s="16"/>
      <c r="E88" s="1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16"/>
      <c r="C89" s="16"/>
      <c r="D89" s="16"/>
      <c r="E89" s="1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16"/>
      <c r="C90" s="16"/>
      <c r="D90" s="16"/>
      <c r="E90" s="1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16"/>
      <c r="C91" s="16"/>
      <c r="D91" s="16"/>
      <c r="E91" s="1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16"/>
      <c r="C92" s="16"/>
      <c r="D92" s="16"/>
      <c r="E92" s="1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16"/>
      <c r="C93" s="16"/>
      <c r="D93" s="16"/>
      <c r="E93" s="1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16"/>
      <c r="C94" s="16"/>
      <c r="D94" s="16"/>
      <c r="E94" s="1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16"/>
      <c r="C95" s="16"/>
      <c r="D95" s="16"/>
      <c r="E95" s="1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16"/>
      <c r="C96" s="16"/>
      <c r="D96" s="16"/>
      <c r="E96" s="1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16"/>
      <c r="C97" s="16"/>
      <c r="D97" s="16"/>
      <c r="E97" s="1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16"/>
      <c r="C98" s="16"/>
      <c r="D98" s="16"/>
      <c r="E98" s="1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16"/>
      <c r="C99" s="16"/>
      <c r="D99" s="16"/>
      <c r="E99" s="1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16"/>
      <c r="C100" s="16"/>
      <c r="D100" s="16"/>
      <c r="E100" s="1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16"/>
      <c r="C101" s="16"/>
      <c r="D101" s="16"/>
      <c r="E101" s="1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16"/>
      <c r="C102" s="16"/>
      <c r="D102" s="16"/>
      <c r="E102" s="1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16"/>
      <c r="C103" s="16"/>
      <c r="D103" s="16"/>
      <c r="E103" s="1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16"/>
      <c r="C104" s="16"/>
      <c r="D104" s="16"/>
      <c r="E104" s="1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16"/>
      <c r="C105" s="16"/>
      <c r="D105" s="16"/>
      <c r="E105" s="1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16"/>
      <c r="C106" s="16"/>
      <c r="D106" s="16"/>
      <c r="E106" s="1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16"/>
      <c r="C107" s="16"/>
      <c r="D107" s="16"/>
      <c r="E107" s="15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16"/>
      <c r="C108" s="16"/>
      <c r="D108" s="16"/>
      <c r="E108" s="15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16"/>
      <c r="C109" s="16"/>
      <c r="D109" s="16"/>
      <c r="E109" s="15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16"/>
      <c r="C110" s="16"/>
      <c r="D110" s="16"/>
      <c r="E110" s="15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16"/>
      <c r="C111" s="16"/>
      <c r="D111" s="16"/>
      <c r="E111" s="15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16"/>
      <c r="C112" s="16"/>
      <c r="D112" s="16"/>
      <c r="E112" s="1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16"/>
      <c r="C113" s="16"/>
      <c r="D113" s="16"/>
      <c r="E113" s="1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16"/>
      <c r="C114" s="16"/>
      <c r="D114" s="16"/>
      <c r="E114" s="1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16"/>
      <c r="C115" s="16"/>
      <c r="D115" s="16"/>
      <c r="E115" s="1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16"/>
      <c r="C116" s="16"/>
      <c r="D116" s="16"/>
      <c r="E116" s="1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16"/>
      <c r="C117" s="16"/>
      <c r="D117" s="16"/>
      <c r="E117" s="1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16"/>
      <c r="C118" s="16"/>
      <c r="D118" s="16"/>
      <c r="E118" s="1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16"/>
      <c r="C119" s="16"/>
      <c r="D119" s="16"/>
      <c r="E119" s="1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16"/>
      <c r="C120" s="16"/>
      <c r="D120" s="16"/>
      <c r="E120" s="1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16"/>
      <c r="C121" s="16"/>
      <c r="D121" s="16"/>
      <c r="E121" s="1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16"/>
      <c r="C122" s="16"/>
      <c r="D122" s="16"/>
      <c r="E122" s="1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16"/>
      <c r="C123" s="16"/>
      <c r="D123" s="16"/>
      <c r="E123" s="1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16"/>
      <c r="C124" s="16"/>
      <c r="D124" s="16"/>
      <c r="E124" s="1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16"/>
      <c r="C125" s="16"/>
      <c r="D125" s="16"/>
      <c r="E125" s="1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16"/>
      <c r="C126" s="16"/>
      <c r="D126" s="16"/>
      <c r="E126" s="1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16"/>
      <c r="C127" s="16"/>
      <c r="D127" s="16"/>
      <c r="E127" s="1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16"/>
      <c r="C128" s="16"/>
      <c r="D128" s="16"/>
      <c r="E128" s="1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16"/>
      <c r="C129" s="16"/>
      <c r="D129" s="16"/>
      <c r="E129" s="1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16"/>
      <c r="C130" s="16"/>
      <c r="D130" s="16"/>
      <c r="E130" s="1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16"/>
      <c r="C131" s="16"/>
      <c r="D131" s="16"/>
      <c r="E131" s="1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16"/>
      <c r="C132" s="16"/>
      <c r="D132" s="16"/>
      <c r="E132" s="1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16"/>
      <c r="C133" s="16"/>
      <c r="D133" s="16"/>
      <c r="E133" s="1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16"/>
      <c r="C134" s="16"/>
      <c r="D134" s="16"/>
      <c r="E134" s="1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16"/>
      <c r="C135" s="16"/>
      <c r="D135" s="16"/>
      <c r="E135" s="1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16"/>
      <c r="C136" s="16"/>
      <c r="D136" s="16"/>
      <c r="E136" s="1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16"/>
      <c r="C137" s="16"/>
      <c r="D137" s="16"/>
      <c r="E137" s="1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16"/>
      <c r="C138" s="16"/>
      <c r="D138" s="16"/>
      <c r="E138" s="1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16"/>
      <c r="C139" s="16"/>
      <c r="D139" s="16"/>
      <c r="E139" s="1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16"/>
      <c r="C140" s="16"/>
      <c r="D140" s="16"/>
      <c r="E140" s="1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16"/>
      <c r="C141" s="16"/>
      <c r="D141" s="16"/>
      <c r="E141" s="1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16"/>
      <c r="C142" s="16"/>
      <c r="D142" s="16"/>
      <c r="E142" s="1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16"/>
      <c r="C143" s="16"/>
      <c r="D143" s="16"/>
      <c r="E143" s="1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16"/>
      <c r="C144" s="16"/>
      <c r="D144" s="16"/>
      <c r="E144" s="1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16"/>
      <c r="C145" s="16"/>
      <c r="D145" s="16"/>
      <c r="E145" s="1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16"/>
      <c r="C146" s="16"/>
      <c r="D146" s="16"/>
      <c r="E146" s="1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16"/>
      <c r="C147" s="16"/>
      <c r="D147" s="16"/>
      <c r="E147" s="1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16"/>
      <c r="C148" s="16"/>
      <c r="D148" s="16"/>
      <c r="E148" s="1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16"/>
      <c r="C149" s="16"/>
      <c r="D149" s="16"/>
      <c r="E149" s="1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16"/>
      <c r="C150" s="16"/>
      <c r="D150" s="16"/>
      <c r="E150" s="1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16"/>
      <c r="C151" s="16"/>
      <c r="D151" s="16"/>
      <c r="E151" s="1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16"/>
      <c r="C152" s="16"/>
      <c r="D152" s="16"/>
      <c r="E152" s="1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16"/>
      <c r="C153" s="16"/>
      <c r="D153" s="16"/>
      <c r="E153" s="1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16"/>
      <c r="C154" s="16"/>
      <c r="D154" s="16"/>
      <c r="E154" s="1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16"/>
      <c r="C155" s="16"/>
      <c r="D155" s="16"/>
      <c r="E155" s="1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16"/>
      <c r="C156" s="16"/>
      <c r="D156" s="16"/>
      <c r="E156" s="1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16"/>
      <c r="C157" s="16"/>
      <c r="D157" s="16"/>
      <c r="E157" s="1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16"/>
      <c r="C158" s="16"/>
      <c r="D158" s="16"/>
      <c r="E158" s="1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16"/>
      <c r="C159" s="16"/>
      <c r="D159" s="16"/>
      <c r="E159" s="1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16"/>
      <c r="C160" s="16"/>
      <c r="D160" s="16"/>
      <c r="E160" s="1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16"/>
      <c r="C161" s="16"/>
      <c r="D161" s="16"/>
      <c r="E161" s="1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16"/>
      <c r="C162" s="16"/>
      <c r="D162" s="16"/>
      <c r="E162" s="1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16"/>
      <c r="C163" s="16"/>
      <c r="D163" s="16"/>
      <c r="E163" s="1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16"/>
      <c r="C164" s="16"/>
      <c r="D164" s="16"/>
      <c r="E164" s="1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16"/>
      <c r="C165" s="16"/>
      <c r="D165" s="16"/>
      <c r="E165" s="1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16"/>
      <c r="C166" s="16"/>
      <c r="D166" s="16"/>
      <c r="E166" s="1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16"/>
      <c r="C167" s="16"/>
      <c r="D167" s="16"/>
      <c r="E167" s="1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16"/>
      <c r="C168" s="16"/>
      <c r="D168" s="16"/>
      <c r="E168" s="1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16"/>
      <c r="C169" s="16"/>
      <c r="D169" s="16"/>
      <c r="E169" s="1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16"/>
      <c r="C170" s="16"/>
      <c r="D170" s="16"/>
      <c r="E170" s="1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16"/>
      <c r="C171" s="16"/>
      <c r="D171" s="16"/>
      <c r="E171" s="1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16"/>
      <c r="C172" s="16"/>
      <c r="D172" s="16"/>
      <c r="E172" s="1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16"/>
      <c r="C173" s="16"/>
      <c r="D173" s="16"/>
      <c r="E173" s="1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16"/>
      <c r="C174" s="16"/>
      <c r="D174" s="16"/>
      <c r="E174" s="1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16"/>
      <c r="C175" s="16"/>
      <c r="D175" s="16"/>
      <c r="E175" s="1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16"/>
      <c r="C176" s="16"/>
      <c r="D176" s="16"/>
      <c r="E176" s="1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16"/>
      <c r="C177" s="16"/>
      <c r="D177" s="16"/>
      <c r="E177" s="1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16"/>
      <c r="C178" s="16"/>
      <c r="D178" s="16"/>
      <c r="E178" s="1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16"/>
      <c r="C179" s="16"/>
      <c r="D179" s="16"/>
      <c r="E179" s="1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16"/>
      <c r="C180" s="16"/>
      <c r="D180" s="16"/>
      <c r="E180" s="1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16"/>
      <c r="C181" s="16"/>
      <c r="D181" s="16"/>
      <c r="E181" s="1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16"/>
      <c r="C182" s="16"/>
      <c r="D182" s="16"/>
      <c r="E182" s="1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16"/>
      <c r="C183" s="16"/>
      <c r="D183" s="16"/>
      <c r="E183" s="1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16"/>
      <c r="C184" s="16"/>
      <c r="D184" s="16"/>
      <c r="E184" s="1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16"/>
      <c r="C185" s="16"/>
      <c r="D185" s="16"/>
      <c r="E185" s="1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16"/>
      <c r="C186" s="16"/>
      <c r="D186" s="16"/>
      <c r="E186" s="1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16"/>
      <c r="C187" s="16"/>
      <c r="D187" s="16"/>
      <c r="E187" s="1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16"/>
      <c r="C188" s="16"/>
      <c r="D188" s="16"/>
      <c r="E188" s="1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16"/>
      <c r="C189" s="16"/>
      <c r="D189" s="16"/>
      <c r="E189" s="1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16"/>
      <c r="C190" s="16"/>
      <c r="D190" s="16"/>
      <c r="E190" s="1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16"/>
      <c r="C191" s="16"/>
      <c r="D191" s="16"/>
      <c r="E191" s="1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16"/>
      <c r="C192" s="16"/>
      <c r="D192" s="16"/>
      <c r="E192" s="1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16"/>
      <c r="C193" s="16"/>
      <c r="D193" s="16"/>
      <c r="E193" s="1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16"/>
      <c r="C194" s="16"/>
      <c r="D194" s="16"/>
      <c r="E194" s="1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16"/>
      <c r="C195" s="16"/>
      <c r="D195" s="16"/>
      <c r="E195" s="1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16"/>
      <c r="C196" s="16"/>
      <c r="D196" s="16"/>
      <c r="E196" s="1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16"/>
      <c r="C197" s="16"/>
      <c r="D197" s="16"/>
      <c r="E197" s="1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16"/>
      <c r="C198" s="16"/>
      <c r="D198" s="16"/>
      <c r="E198" s="1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16"/>
      <c r="C199" s="16"/>
      <c r="D199" s="16"/>
      <c r="E199" s="1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16"/>
      <c r="C200" s="16"/>
      <c r="D200" s="16"/>
      <c r="E200" s="1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16"/>
      <c r="C201" s="16"/>
      <c r="D201" s="16"/>
      <c r="E201" s="15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16"/>
      <c r="C202" s="16"/>
      <c r="D202" s="16"/>
      <c r="E202" s="15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16"/>
      <c r="C203" s="16"/>
      <c r="D203" s="16"/>
      <c r="E203" s="15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16"/>
      <c r="C204" s="16"/>
      <c r="D204" s="16"/>
      <c r="E204" s="15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16"/>
      <c r="C205" s="16"/>
      <c r="D205" s="16"/>
      <c r="E205" s="1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16"/>
      <c r="C206" s="16"/>
      <c r="D206" s="16"/>
      <c r="E206" s="1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16"/>
      <c r="C207" s="16"/>
      <c r="D207" s="16"/>
      <c r="E207" s="1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16"/>
      <c r="C208" s="16"/>
      <c r="D208" s="16"/>
      <c r="E208" s="1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16"/>
      <c r="C209" s="16"/>
      <c r="D209" s="16"/>
      <c r="E209" s="1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16"/>
      <c r="C210" s="16"/>
      <c r="D210" s="16"/>
      <c r="E210" s="1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16"/>
      <c r="C211" s="16"/>
      <c r="D211" s="16"/>
      <c r="E211" s="1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16"/>
      <c r="C212" s="16"/>
      <c r="D212" s="16"/>
      <c r="E212" s="1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16"/>
      <c r="C213" s="16"/>
      <c r="D213" s="16"/>
      <c r="E213" s="1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16"/>
      <c r="C214" s="16"/>
      <c r="D214" s="16"/>
      <c r="E214" s="1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16"/>
      <c r="C215" s="16"/>
      <c r="D215" s="16"/>
      <c r="E215" s="1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16"/>
      <c r="C216" s="16"/>
      <c r="D216" s="16"/>
      <c r="E216" s="15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16"/>
      <c r="C217" s="16"/>
      <c r="D217" s="16"/>
      <c r="E217" s="15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16"/>
      <c r="C218" s="16"/>
      <c r="D218" s="16"/>
      <c r="E218" s="15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16"/>
      <c r="C219" s="16"/>
      <c r="D219" s="16"/>
      <c r="E219" s="15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16"/>
      <c r="C220" s="16"/>
      <c r="D220" s="16"/>
      <c r="E220" s="15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16"/>
      <c r="C221" s="16"/>
      <c r="D221" s="16"/>
      <c r="E221" s="1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16"/>
      <c r="C222" s="16"/>
      <c r="D222" s="16"/>
      <c r="E222" s="15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16"/>
      <c r="C223" s="16"/>
      <c r="D223" s="16"/>
      <c r="E223" s="15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16"/>
      <c r="C224" s="16"/>
      <c r="D224" s="16"/>
      <c r="E224" s="15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16"/>
      <c r="C225" s="16"/>
      <c r="D225" s="16"/>
      <c r="E225" s="15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16"/>
      <c r="C226" s="16"/>
      <c r="D226" s="16"/>
      <c r="E226" s="15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16"/>
      <c r="C227" s="16"/>
      <c r="D227" s="16"/>
      <c r="E227" s="15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16"/>
      <c r="C228" s="16"/>
      <c r="D228" s="16"/>
      <c r="E228" s="15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16"/>
      <c r="C229" s="16"/>
      <c r="D229" s="16"/>
      <c r="E229" s="15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16"/>
      <c r="C230" s="16"/>
      <c r="D230" s="16"/>
      <c r="E230" s="15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16"/>
      <c r="C231" s="16"/>
      <c r="D231" s="16"/>
      <c r="E231" s="15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16"/>
      <c r="C232" s="16"/>
      <c r="D232" s="16"/>
      <c r="E232" s="15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16"/>
      <c r="C233" s="16"/>
      <c r="D233" s="16"/>
      <c r="E233" s="15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16"/>
      <c r="C234" s="16"/>
      <c r="D234" s="16"/>
      <c r="E234" s="1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16"/>
      <c r="C235" s="16"/>
      <c r="D235" s="16"/>
      <c r="E235" s="1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16"/>
      <c r="C236" s="16"/>
      <c r="D236" s="16"/>
      <c r="E236" s="1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16"/>
      <c r="C237" s="16"/>
      <c r="D237" s="16"/>
      <c r="E237" s="1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16"/>
      <c r="C238" s="16"/>
      <c r="D238" s="16"/>
      <c r="E238" s="1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16"/>
      <c r="C239" s="16"/>
      <c r="D239" s="16"/>
      <c r="E239" s="1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16"/>
      <c r="C240" s="16"/>
      <c r="D240" s="16"/>
      <c r="E240" s="1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16"/>
      <c r="C241" s="16"/>
      <c r="D241" s="16"/>
      <c r="E241" s="1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16"/>
      <c r="C242" s="16"/>
      <c r="D242" s="16"/>
      <c r="E242" s="1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16"/>
      <c r="C243" s="16"/>
      <c r="D243" s="16"/>
      <c r="E243" s="1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16"/>
      <c r="C244" s="16"/>
      <c r="D244" s="16"/>
      <c r="E244" s="1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16"/>
      <c r="C245" s="16"/>
      <c r="D245" s="16"/>
      <c r="E245" s="1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16"/>
      <c r="C246" s="16"/>
      <c r="D246" s="16"/>
      <c r="E246" s="1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16"/>
      <c r="C247" s="16"/>
      <c r="D247" s="16"/>
      <c r="E247" s="15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16"/>
      <c r="C248" s="16"/>
      <c r="D248" s="16"/>
      <c r="E248" s="15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16"/>
      <c r="C249" s="16"/>
      <c r="D249" s="16"/>
      <c r="E249" s="15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16"/>
      <c r="C250" s="16"/>
      <c r="D250" s="16"/>
      <c r="E250" s="15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16"/>
      <c r="C251" s="16"/>
      <c r="D251" s="16"/>
      <c r="E251" s="15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16"/>
      <c r="C252" s="16"/>
      <c r="D252" s="16"/>
      <c r="E252" s="15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16"/>
      <c r="C253" s="16"/>
      <c r="D253" s="16"/>
      <c r="E253" s="15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16"/>
      <c r="C254" s="16"/>
      <c r="D254" s="16"/>
      <c r="E254" s="15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16"/>
      <c r="C255" s="16"/>
      <c r="D255" s="16"/>
      <c r="E255" s="15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16"/>
      <c r="C256" s="16"/>
      <c r="D256" s="16"/>
      <c r="E256" s="15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16"/>
      <c r="C257" s="16"/>
      <c r="D257" s="16"/>
      <c r="E257" s="15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16"/>
      <c r="C258" s="16"/>
      <c r="D258" s="16"/>
      <c r="E258" s="15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16"/>
      <c r="C259" s="16"/>
      <c r="D259" s="16"/>
      <c r="E259" s="15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16"/>
      <c r="C260" s="16"/>
      <c r="D260" s="16"/>
      <c r="E260" s="15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16"/>
      <c r="C261" s="16"/>
      <c r="D261" s="16"/>
      <c r="E261" s="15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16"/>
      <c r="C262" s="16"/>
      <c r="D262" s="16"/>
      <c r="E262" s="15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16"/>
      <c r="C263" s="16"/>
      <c r="D263" s="16"/>
      <c r="E263" s="15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16"/>
      <c r="C264" s="16"/>
      <c r="D264" s="16"/>
      <c r="E264" s="15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16"/>
      <c r="C265" s="16"/>
      <c r="D265" s="16"/>
      <c r="E265" s="15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16"/>
      <c r="C266" s="16"/>
      <c r="D266" s="16"/>
      <c r="E266" s="15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16"/>
      <c r="C267" s="16"/>
      <c r="D267" s="16"/>
      <c r="E267" s="15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16"/>
      <c r="C268" s="16"/>
      <c r="D268" s="16"/>
      <c r="E268" s="15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16"/>
      <c r="C269" s="16"/>
      <c r="D269" s="16"/>
      <c r="E269" s="15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16"/>
      <c r="C270" s="16"/>
      <c r="D270" s="16"/>
      <c r="E270" s="15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16"/>
      <c r="C271" s="16"/>
      <c r="D271" s="16"/>
      <c r="E271" s="15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16"/>
      <c r="C272" s="16"/>
      <c r="D272" s="16"/>
      <c r="E272" s="15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16"/>
      <c r="C273" s="16"/>
      <c r="D273" s="16"/>
      <c r="E273" s="15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16"/>
      <c r="C274" s="16"/>
      <c r="D274" s="16"/>
      <c r="E274" s="15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16"/>
      <c r="C275" s="16"/>
      <c r="D275" s="16"/>
      <c r="E275" s="15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16"/>
      <c r="C276" s="16"/>
      <c r="D276" s="16"/>
      <c r="E276" s="15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16"/>
      <c r="C277" s="16"/>
      <c r="D277" s="16"/>
      <c r="E277" s="15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16"/>
      <c r="C278" s="16"/>
      <c r="D278" s="16"/>
      <c r="E278" s="15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16"/>
      <c r="C279" s="16"/>
      <c r="D279" s="16"/>
      <c r="E279" s="15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16"/>
      <c r="C280" s="16"/>
      <c r="D280" s="16"/>
      <c r="E280" s="15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16"/>
      <c r="C281" s="16"/>
      <c r="D281" s="16"/>
      <c r="E281" s="15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16"/>
      <c r="C282" s="16"/>
      <c r="D282" s="16"/>
      <c r="E282" s="15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16"/>
      <c r="C283" s="16"/>
      <c r="D283" s="16"/>
      <c r="E283" s="15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16"/>
      <c r="C284" s="16"/>
      <c r="D284" s="16"/>
      <c r="E284" s="15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16"/>
      <c r="C285" s="16"/>
      <c r="D285" s="16"/>
      <c r="E285" s="15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16"/>
      <c r="C286" s="16"/>
      <c r="D286" s="16"/>
      <c r="E286" s="15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16"/>
      <c r="C287" s="16"/>
      <c r="D287" s="16"/>
      <c r="E287" s="15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16"/>
      <c r="C288" s="16"/>
      <c r="D288" s="16"/>
      <c r="E288" s="15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16"/>
      <c r="C289" s="16"/>
      <c r="D289" s="16"/>
      <c r="E289" s="15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16"/>
      <c r="C290" s="16"/>
      <c r="D290" s="16"/>
      <c r="E290" s="15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16"/>
      <c r="C291" s="16"/>
      <c r="D291" s="16"/>
      <c r="E291" s="15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16"/>
      <c r="C292" s="16"/>
      <c r="D292" s="16"/>
      <c r="E292" s="15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16"/>
      <c r="C293" s="16"/>
      <c r="D293" s="16"/>
      <c r="E293" s="15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16"/>
      <c r="C294" s="16"/>
      <c r="D294" s="16"/>
      <c r="E294" s="15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16"/>
      <c r="C295" s="16"/>
      <c r="D295" s="16"/>
      <c r="E295" s="15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16"/>
      <c r="C296" s="16"/>
      <c r="D296" s="16"/>
      <c r="E296" s="15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16"/>
      <c r="C297" s="16"/>
      <c r="D297" s="16"/>
      <c r="E297" s="15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16"/>
      <c r="C298" s="16"/>
      <c r="D298" s="16"/>
      <c r="E298" s="15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16"/>
      <c r="C299" s="16"/>
      <c r="D299" s="16"/>
      <c r="E299" s="15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16"/>
      <c r="C300" s="16"/>
      <c r="D300" s="16"/>
      <c r="E300" s="15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16"/>
      <c r="C301" s="16"/>
      <c r="D301" s="16"/>
      <c r="E301" s="15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16"/>
      <c r="C302" s="16"/>
      <c r="D302" s="16"/>
      <c r="E302" s="15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16"/>
      <c r="C303" s="16"/>
      <c r="D303" s="16"/>
      <c r="E303" s="15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16"/>
      <c r="C304" s="16"/>
      <c r="D304" s="16"/>
      <c r="E304" s="15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16"/>
      <c r="C305" s="16"/>
      <c r="D305" s="16"/>
      <c r="E305" s="15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16"/>
      <c r="C306" s="16"/>
      <c r="D306" s="16"/>
      <c r="E306" s="15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16"/>
      <c r="C307" s="16"/>
      <c r="D307" s="16"/>
      <c r="E307" s="15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16"/>
      <c r="C308" s="16"/>
      <c r="D308" s="16"/>
      <c r="E308" s="15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16"/>
      <c r="C309" s="16"/>
      <c r="D309" s="16"/>
      <c r="E309" s="15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16"/>
      <c r="C310" s="16"/>
      <c r="D310" s="16"/>
      <c r="E310" s="15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16"/>
      <c r="C311" s="16"/>
      <c r="D311" s="16"/>
      <c r="E311" s="15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16"/>
      <c r="C312" s="16"/>
      <c r="D312" s="16"/>
      <c r="E312" s="15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16"/>
      <c r="C313" s="16"/>
      <c r="D313" s="16"/>
      <c r="E313" s="15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16"/>
      <c r="C314" s="16"/>
      <c r="D314" s="16"/>
      <c r="E314" s="15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16"/>
      <c r="C315" s="16"/>
      <c r="D315" s="16"/>
      <c r="E315" s="15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16"/>
      <c r="C316" s="16"/>
      <c r="D316" s="16"/>
      <c r="E316" s="15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16"/>
      <c r="C317" s="16"/>
      <c r="D317" s="16"/>
      <c r="E317" s="15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16"/>
      <c r="C318" s="16"/>
      <c r="D318" s="16"/>
      <c r="E318" s="15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16"/>
      <c r="C319" s="16"/>
      <c r="D319" s="16"/>
      <c r="E319" s="15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16"/>
      <c r="C320" s="16"/>
      <c r="D320" s="16"/>
      <c r="E320" s="15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16"/>
      <c r="C321" s="16"/>
      <c r="D321" s="16"/>
      <c r="E321" s="15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16"/>
      <c r="C322" s="16"/>
      <c r="D322" s="16"/>
      <c r="E322" s="15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16"/>
      <c r="C323" s="16"/>
      <c r="D323" s="16"/>
      <c r="E323" s="15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16"/>
      <c r="C324" s="16"/>
      <c r="D324" s="16"/>
      <c r="E324" s="15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16"/>
      <c r="C325" s="16"/>
      <c r="D325" s="16"/>
      <c r="E325" s="15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16"/>
      <c r="C326" s="16"/>
      <c r="D326" s="16"/>
      <c r="E326" s="15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16"/>
      <c r="C327" s="16"/>
      <c r="D327" s="16"/>
      <c r="E327" s="15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16"/>
      <c r="C328" s="16"/>
      <c r="D328" s="16"/>
      <c r="E328" s="15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16"/>
      <c r="C329" s="16"/>
      <c r="D329" s="16"/>
      <c r="E329" s="15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16"/>
      <c r="C330" s="16"/>
      <c r="D330" s="16"/>
      <c r="E330" s="15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16"/>
      <c r="C331" s="16"/>
      <c r="D331" s="16"/>
      <c r="E331" s="15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16"/>
      <c r="C332" s="16"/>
      <c r="D332" s="16"/>
      <c r="E332" s="15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16"/>
      <c r="C333" s="16"/>
      <c r="D333" s="16"/>
      <c r="E333" s="15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16"/>
      <c r="C334" s="16"/>
      <c r="D334" s="16"/>
      <c r="E334" s="15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16"/>
      <c r="C335" s="16"/>
      <c r="D335" s="16"/>
      <c r="E335" s="15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16"/>
      <c r="C336" s="16"/>
      <c r="D336" s="16"/>
      <c r="E336" s="15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16"/>
      <c r="C337" s="16"/>
      <c r="D337" s="16"/>
      <c r="E337" s="15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16"/>
      <c r="C338" s="16"/>
      <c r="D338" s="16"/>
      <c r="E338" s="15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16"/>
      <c r="C339" s="16"/>
      <c r="D339" s="16"/>
      <c r="E339" s="15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16"/>
      <c r="C340" s="16"/>
      <c r="D340" s="16"/>
      <c r="E340" s="15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16"/>
      <c r="C341" s="16"/>
      <c r="D341" s="16"/>
      <c r="E341" s="15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16"/>
      <c r="C342" s="16"/>
      <c r="D342" s="16"/>
      <c r="E342" s="15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16"/>
      <c r="C343" s="16"/>
      <c r="D343" s="16"/>
      <c r="E343" s="15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16"/>
      <c r="C344" s="16"/>
      <c r="D344" s="16"/>
      <c r="E344" s="15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16"/>
      <c r="C345" s="16"/>
      <c r="D345" s="16"/>
      <c r="E345" s="15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16"/>
      <c r="C346" s="16"/>
      <c r="D346" s="16"/>
      <c r="E346" s="15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16"/>
      <c r="C347" s="16"/>
      <c r="D347" s="16"/>
      <c r="E347" s="15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16"/>
      <c r="C348" s="16"/>
      <c r="D348" s="16"/>
      <c r="E348" s="15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16"/>
      <c r="C349" s="16"/>
      <c r="D349" s="16"/>
      <c r="E349" s="15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16"/>
      <c r="C350" s="16"/>
      <c r="D350" s="16"/>
      <c r="E350" s="15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16"/>
      <c r="C351" s="16"/>
      <c r="D351" s="16"/>
      <c r="E351" s="15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16"/>
      <c r="C352" s="16"/>
      <c r="D352" s="16"/>
      <c r="E352" s="15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16"/>
      <c r="C353" s="16"/>
      <c r="D353" s="16"/>
      <c r="E353" s="15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16"/>
      <c r="C354" s="16"/>
      <c r="D354" s="16"/>
      <c r="E354" s="1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16"/>
      <c r="C355" s="16"/>
      <c r="D355" s="16"/>
      <c r="E355" s="15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16"/>
      <c r="C356" s="16"/>
      <c r="D356" s="16"/>
      <c r="E356" s="15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16"/>
      <c r="C357" s="16"/>
      <c r="D357" s="16"/>
      <c r="E357" s="15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16"/>
      <c r="C358" s="16"/>
      <c r="D358" s="16"/>
      <c r="E358" s="15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16"/>
      <c r="C359" s="16"/>
      <c r="D359" s="16"/>
      <c r="E359" s="15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16"/>
      <c r="C360" s="16"/>
      <c r="D360" s="16"/>
      <c r="E360" s="15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16"/>
      <c r="C361" s="16"/>
      <c r="D361" s="16"/>
      <c r="E361" s="15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16"/>
      <c r="C362" s="16"/>
      <c r="D362" s="16"/>
      <c r="E362" s="15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16"/>
      <c r="C363" s="16"/>
      <c r="D363" s="16"/>
      <c r="E363" s="15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16"/>
      <c r="C364" s="16"/>
      <c r="D364" s="16"/>
      <c r="E364" s="15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16"/>
      <c r="C365" s="16"/>
      <c r="D365" s="16"/>
      <c r="E365" s="15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16"/>
      <c r="C366" s="16"/>
      <c r="D366" s="16"/>
      <c r="E366" s="15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16"/>
      <c r="C367" s="16"/>
      <c r="D367" s="16"/>
      <c r="E367" s="15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16"/>
      <c r="C368" s="16"/>
      <c r="D368" s="16"/>
      <c r="E368" s="15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16"/>
      <c r="C369" s="16"/>
      <c r="D369" s="16"/>
      <c r="E369" s="15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16"/>
      <c r="C370" s="16"/>
      <c r="D370" s="16"/>
      <c r="E370" s="15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16"/>
      <c r="C371" s="16"/>
      <c r="D371" s="16"/>
      <c r="E371" s="15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16"/>
      <c r="C372" s="16"/>
      <c r="D372" s="16"/>
      <c r="E372" s="15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16"/>
      <c r="C373" s="16"/>
      <c r="D373" s="16"/>
      <c r="E373" s="15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16"/>
      <c r="C374" s="16"/>
      <c r="D374" s="16"/>
      <c r="E374" s="15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16"/>
      <c r="C375" s="16"/>
      <c r="D375" s="16"/>
      <c r="E375" s="15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16"/>
      <c r="C376" s="16"/>
      <c r="D376" s="16"/>
      <c r="E376" s="15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16"/>
      <c r="C377" s="16"/>
      <c r="D377" s="16"/>
      <c r="E377" s="15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16"/>
      <c r="C378" s="16"/>
      <c r="D378" s="16"/>
      <c r="E378" s="15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16"/>
      <c r="C379" s="16"/>
      <c r="D379" s="16"/>
      <c r="E379" s="15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16"/>
      <c r="C380" s="16"/>
      <c r="D380" s="16"/>
      <c r="E380" s="15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16"/>
      <c r="C381" s="16"/>
      <c r="D381" s="16"/>
      <c r="E381" s="15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16"/>
      <c r="C382" s="16"/>
      <c r="D382" s="16"/>
      <c r="E382" s="15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16"/>
      <c r="C383" s="16"/>
      <c r="D383" s="16"/>
      <c r="E383" s="15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16"/>
      <c r="C384" s="16"/>
      <c r="D384" s="16"/>
      <c r="E384" s="15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16"/>
      <c r="C385" s="16"/>
      <c r="D385" s="16"/>
      <c r="E385" s="15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16"/>
      <c r="C386" s="16"/>
      <c r="D386" s="16"/>
      <c r="E386" s="15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16"/>
      <c r="C387" s="16"/>
      <c r="D387" s="16"/>
      <c r="E387" s="15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16"/>
      <c r="C388" s="16"/>
      <c r="D388" s="16"/>
      <c r="E388" s="15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16"/>
      <c r="C389" s="16"/>
      <c r="D389" s="16"/>
      <c r="E389" s="15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16"/>
      <c r="C390" s="16"/>
      <c r="D390" s="16"/>
      <c r="E390" s="15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16"/>
      <c r="C391" s="16"/>
      <c r="D391" s="16"/>
      <c r="E391" s="15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16"/>
      <c r="C392" s="16"/>
      <c r="D392" s="16"/>
      <c r="E392" s="15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16"/>
      <c r="C393" s="16"/>
      <c r="D393" s="16"/>
      <c r="E393" s="15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16"/>
      <c r="C394" s="16"/>
      <c r="D394" s="16"/>
      <c r="E394" s="15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16"/>
      <c r="C395" s="16"/>
      <c r="D395" s="16"/>
      <c r="E395" s="15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16"/>
      <c r="C396" s="16"/>
      <c r="D396" s="16"/>
      <c r="E396" s="15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16"/>
      <c r="C397" s="16"/>
      <c r="D397" s="16"/>
      <c r="E397" s="15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16"/>
      <c r="C398" s="16"/>
      <c r="D398" s="16"/>
      <c r="E398" s="15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16"/>
      <c r="C399" s="16"/>
      <c r="D399" s="16"/>
      <c r="E399" s="15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16"/>
      <c r="C400" s="16"/>
      <c r="D400" s="16"/>
      <c r="E400" s="15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16"/>
      <c r="C401" s="16"/>
      <c r="D401" s="16"/>
      <c r="E401" s="15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16"/>
      <c r="C402" s="16"/>
      <c r="D402" s="16"/>
      <c r="E402" s="15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16"/>
      <c r="C403" s="16"/>
      <c r="D403" s="16"/>
      <c r="E403" s="15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16"/>
      <c r="C404" s="16"/>
      <c r="D404" s="16"/>
      <c r="E404" s="15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16"/>
      <c r="C405" s="16"/>
      <c r="D405" s="16"/>
      <c r="E405" s="15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16"/>
      <c r="C406" s="16"/>
      <c r="D406" s="16"/>
      <c r="E406" s="15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16"/>
      <c r="C407" s="16"/>
      <c r="D407" s="16"/>
      <c r="E407" s="15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16"/>
      <c r="C408" s="16"/>
      <c r="D408" s="16"/>
      <c r="E408" s="15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16"/>
      <c r="C409" s="16"/>
      <c r="D409" s="16"/>
      <c r="E409" s="15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16"/>
      <c r="C410" s="16"/>
      <c r="D410" s="16"/>
      <c r="E410" s="15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16"/>
      <c r="C411" s="16"/>
      <c r="D411" s="16"/>
      <c r="E411" s="15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16"/>
      <c r="C412" s="16"/>
      <c r="D412" s="16"/>
      <c r="E412" s="15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16"/>
      <c r="C413" s="16"/>
      <c r="D413" s="16"/>
      <c r="E413" s="15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16"/>
      <c r="C414" s="16"/>
      <c r="D414" s="16"/>
      <c r="E414" s="15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16"/>
      <c r="C415" s="16"/>
      <c r="D415" s="16"/>
      <c r="E415" s="15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16"/>
      <c r="C416" s="16"/>
      <c r="D416" s="16"/>
      <c r="E416" s="15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16"/>
      <c r="C417" s="16"/>
      <c r="D417" s="16"/>
      <c r="E417" s="15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16"/>
      <c r="C418" s="16"/>
      <c r="D418" s="16"/>
      <c r="E418" s="15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16"/>
      <c r="C419" s="16"/>
      <c r="D419" s="16"/>
      <c r="E419" s="15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16"/>
      <c r="C420" s="16"/>
      <c r="D420" s="16"/>
      <c r="E420" s="15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16"/>
      <c r="C421" s="16"/>
      <c r="D421" s="16"/>
      <c r="E421" s="15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16"/>
      <c r="C422" s="16"/>
      <c r="D422" s="16"/>
      <c r="E422" s="15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16"/>
      <c r="C423" s="16"/>
      <c r="D423" s="16"/>
      <c r="E423" s="15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16"/>
      <c r="C424" s="16"/>
      <c r="D424" s="16"/>
      <c r="E424" s="15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16"/>
      <c r="C425" s="16"/>
      <c r="D425" s="16"/>
      <c r="E425" s="15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16"/>
      <c r="C426" s="16"/>
      <c r="D426" s="16"/>
      <c r="E426" s="15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16"/>
      <c r="C427" s="16"/>
      <c r="D427" s="16"/>
      <c r="E427" s="15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16"/>
      <c r="C428" s="16"/>
      <c r="D428" s="16"/>
      <c r="E428" s="15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16"/>
      <c r="C429" s="16"/>
      <c r="D429" s="16"/>
      <c r="E429" s="15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16"/>
      <c r="C430" s="16"/>
      <c r="D430" s="16"/>
      <c r="E430" s="15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16"/>
      <c r="C431" s="16"/>
      <c r="D431" s="16"/>
      <c r="E431" s="15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16"/>
      <c r="C432" s="16"/>
      <c r="D432" s="16"/>
      <c r="E432" s="15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16"/>
      <c r="C433" s="16"/>
      <c r="D433" s="16"/>
      <c r="E433" s="15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16"/>
      <c r="C434" s="16"/>
      <c r="D434" s="16"/>
      <c r="E434" s="15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16"/>
      <c r="C435" s="16"/>
      <c r="D435" s="16"/>
      <c r="E435" s="15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16"/>
      <c r="C436" s="16"/>
      <c r="D436" s="16"/>
      <c r="E436" s="15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16"/>
      <c r="C437" s="16"/>
      <c r="D437" s="16"/>
      <c r="E437" s="15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16"/>
      <c r="C438" s="16"/>
      <c r="D438" s="16"/>
      <c r="E438" s="15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16"/>
      <c r="C439" s="16"/>
      <c r="D439" s="16"/>
      <c r="E439" s="15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16"/>
      <c r="C440" s="16"/>
      <c r="D440" s="16"/>
      <c r="E440" s="15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16"/>
      <c r="C441" s="16"/>
      <c r="D441" s="16"/>
      <c r="E441" s="15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16"/>
      <c r="C442" s="16"/>
      <c r="D442" s="16"/>
      <c r="E442" s="15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16"/>
      <c r="C443" s="16"/>
      <c r="D443" s="16"/>
      <c r="E443" s="15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16"/>
      <c r="C444" s="16"/>
      <c r="D444" s="16"/>
      <c r="E444" s="15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16"/>
      <c r="C445" s="16"/>
      <c r="D445" s="16"/>
      <c r="E445" s="15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16"/>
      <c r="C446" s="16"/>
      <c r="D446" s="16"/>
      <c r="E446" s="15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16"/>
      <c r="C447" s="16"/>
      <c r="D447" s="16"/>
      <c r="E447" s="15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16"/>
      <c r="C448" s="16"/>
      <c r="D448" s="16"/>
      <c r="E448" s="15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16"/>
      <c r="C449" s="16"/>
      <c r="D449" s="16"/>
      <c r="E449" s="15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16"/>
      <c r="C450" s="16"/>
      <c r="D450" s="16"/>
      <c r="E450" s="15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16"/>
      <c r="C451" s="16"/>
      <c r="D451" s="16"/>
      <c r="E451" s="15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16"/>
      <c r="C452" s="16"/>
      <c r="D452" s="16"/>
      <c r="E452" s="15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16"/>
      <c r="C453" s="16"/>
      <c r="D453" s="16"/>
      <c r="E453" s="15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16"/>
      <c r="C454" s="16"/>
      <c r="D454" s="16"/>
      <c r="E454" s="15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16"/>
      <c r="C455" s="16"/>
      <c r="D455" s="16"/>
      <c r="E455" s="15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16"/>
      <c r="C456" s="16"/>
      <c r="D456" s="16"/>
      <c r="E456" s="15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16"/>
      <c r="C457" s="16"/>
      <c r="D457" s="16"/>
      <c r="E457" s="15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16"/>
      <c r="C458" s="16"/>
      <c r="D458" s="16"/>
      <c r="E458" s="15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16"/>
      <c r="C459" s="16"/>
      <c r="D459" s="16"/>
      <c r="E459" s="15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16"/>
      <c r="C460" s="16"/>
      <c r="D460" s="16"/>
      <c r="E460" s="15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16"/>
      <c r="C461" s="16"/>
      <c r="D461" s="16"/>
      <c r="E461" s="15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16"/>
      <c r="C462" s="16"/>
      <c r="D462" s="16"/>
      <c r="E462" s="15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16"/>
      <c r="C463" s="16"/>
      <c r="D463" s="16"/>
      <c r="E463" s="15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16"/>
      <c r="C464" s="16"/>
      <c r="D464" s="16"/>
      <c r="E464" s="15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16"/>
      <c r="C465" s="16"/>
      <c r="D465" s="16"/>
      <c r="E465" s="15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16"/>
      <c r="C466" s="16"/>
      <c r="D466" s="16"/>
      <c r="E466" s="15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16"/>
      <c r="C467" s="16"/>
      <c r="D467" s="16"/>
      <c r="E467" s="15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16"/>
      <c r="C468" s="16"/>
      <c r="D468" s="16"/>
      <c r="E468" s="15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16"/>
      <c r="C469" s="16"/>
      <c r="D469" s="16"/>
      <c r="E469" s="15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16"/>
      <c r="C470" s="16"/>
      <c r="D470" s="16"/>
      <c r="E470" s="15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16"/>
      <c r="C471" s="16"/>
      <c r="D471" s="16"/>
      <c r="E471" s="15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16"/>
      <c r="C472" s="16"/>
      <c r="D472" s="16"/>
      <c r="E472" s="15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16"/>
      <c r="C473" s="16"/>
      <c r="D473" s="16"/>
      <c r="E473" s="15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16"/>
      <c r="C474" s="16"/>
      <c r="D474" s="16"/>
      <c r="E474" s="15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16"/>
      <c r="C475" s="16"/>
      <c r="D475" s="16"/>
      <c r="E475" s="15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16"/>
      <c r="C476" s="16"/>
      <c r="D476" s="16"/>
      <c r="E476" s="15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16"/>
      <c r="C477" s="16"/>
      <c r="D477" s="16"/>
      <c r="E477" s="15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16"/>
      <c r="C478" s="16"/>
      <c r="D478" s="16"/>
      <c r="E478" s="15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16"/>
      <c r="C479" s="16"/>
      <c r="D479" s="16"/>
      <c r="E479" s="15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16"/>
      <c r="C480" s="16"/>
      <c r="D480" s="16"/>
      <c r="E480" s="15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16"/>
      <c r="C481" s="16"/>
      <c r="D481" s="16"/>
      <c r="E481" s="15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16"/>
      <c r="C482" s="16"/>
      <c r="D482" s="16"/>
      <c r="E482" s="15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16"/>
      <c r="C483" s="16"/>
      <c r="D483" s="16"/>
      <c r="E483" s="15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16"/>
      <c r="C484" s="16"/>
      <c r="D484" s="16"/>
      <c r="E484" s="15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16"/>
      <c r="C485" s="16"/>
      <c r="D485" s="16"/>
      <c r="E485" s="15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16"/>
      <c r="C486" s="16"/>
      <c r="D486" s="16"/>
      <c r="E486" s="15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16"/>
      <c r="C487" s="16"/>
      <c r="D487" s="16"/>
      <c r="E487" s="15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16"/>
      <c r="C488" s="16"/>
      <c r="D488" s="16"/>
      <c r="E488" s="15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16"/>
      <c r="C489" s="16"/>
      <c r="D489" s="16"/>
      <c r="E489" s="15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16"/>
      <c r="C490" s="16"/>
      <c r="D490" s="16"/>
      <c r="E490" s="15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16"/>
      <c r="C491" s="16"/>
      <c r="D491" s="16"/>
      <c r="E491" s="15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16"/>
      <c r="C492" s="16"/>
      <c r="D492" s="16"/>
      <c r="E492" s="15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16"/>
      <c r="C493" s="16"/>
      <c r="D493" s="16"/>
      <c r="E493" s="15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16"/>
      <c r="C494" s="16"/>
      <c r="D494" s="16"/>
      <c r="E494" s="15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16"/>
      <c r="C495" s="16"/>
      <c r="D495" s="16"/>
      <c r="E495" s="15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16"/>
      <c r="C496" s="16"/>
      <c r="D496" s="16"/>
      <c r="E496" s="15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16"/>
      <c r="C497" s="16"/>
      <c r="D497" s="16"/>
      <c r="E497" s="15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16"/>
      <c r="C498" s="16"/>
      <c r="D498" s="16"/>
      <c r="E498" s="15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16"/>
      <c r="C499" s="16"/>
      <c r="D499" s="16"/>
      <c r="E499" s="15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16"/>
      <c r="C500" s="16"/>
      <c r="D500" s="16"/>
      <c r="E500" s="15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16"/>
      <c r="C501" s="16"/>
      <c r="D501" s="16"/>
      <c r="E501" s="15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16"/>
      <c r="C502" s="16"/>
      <c r="D502" s="16"/>
      <c r="E502" s="15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16"/>
      <c r="C503" s="16"/>
      <c r="D503" s="16"/>
      <c r="E503" s="15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16"/>
      <c r="C504" s="16"/>
      <c r="D504" s="16"/>
      <c r="E504" s="15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16"/>
      <c r="C505" s="16"/>
      <c r="D505" s="16"/>
      <c r="E505" s="15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16"/>
      <c r="C506" s="16"/>
      <c r="D506" s="16"/>
      <c r="E506" s="15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16"/>
      <c r="C507" s="16"/>
      <c r="D507" s="16"/>
      <c r="E507" s="15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16"/>
      <c r="C508" s="16"/>
      <c r="D508" s="16"/>
      <c r="E508" s="15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16"/>
      <c r="C509" s="16"/>
      <c r="D509" s="16"/>
      <c r="E509" s="15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16"/>
      <c r="C510" s="16"/>
      <c r="D510" s="16"/>
      <c r="E510" s="15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16"/>
      <c r="C511" s="16"/>
      <c r="D511" s="16"/>
      <c r="E511" s="15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16"/>
      <c r="C512" s="16"/>
      <c r="D512" s="16"/>
      <c r="E512" s="15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16"/>
      <c r="C513" s="16"/>
      <c r="D513" s="16"/>
      <c r="E513" s="15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16"/>
      <c r="C514" s="16"/>
      <c r="D514" s="16"/>
      <c r="E514" s="15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16"/>
      <c r="C515" s="16"/>
      <c r="D515" s="16"/>
      <c r="E515" s="15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16"/>
      <c r="C516" s="16"/>
      <c r="D516" s="16"/>
      <c r="E516" s="15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16"/>
      <c r="C517" s="16"/>
      <c r="D517" s="16"/>
      <c r="E517" s="15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16"/>
      <c r="C518" s="16"/>
      <c r="D518" s="16"/>
      <c r="E518" s="15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16"/>
      <c r="C519" s="16"/>
      <c r="D519" s="16"/>
      <c r="E519" s="15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16"/>
      <c r="C520" s="16"/>
      <c r="D520" s="16"/>
      <c r="E520" s="15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16"/>
      <c r="C521" s="16"/>
      <c r="D521" s="16"/>
      <c r="E521" s="15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16"/>
      <c r="C522" s="16"/>
      <c r="D522" s="16"/>
      <c r="E522" s="15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16"/>
      <c r="C523" s="16"/>
      <c r="D523" s="16"/>
      <c r="E523" s="15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16"/>
      <c r="C524" s="16"/>
      <c r="D524" s="16"/>
      <c r="E524" s="15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16"/>
      <c r="C525" s="16"/>
      <c r="D525" s="16"/>
      <c r="E525" s="15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16"/>
      <c r="C526" s="16"/>
      <c r="D526" s="16"/>
      <c r="E526" s="15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16"/>
      <c r="C527" s="16"/>
      <c r="D527" s="16"/>
      <c r="E527" s="15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16"/>
      <c r="C528" s="16"/>
      <c r="D528" s="16"/>
      <c r="E528" s="15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16"/>
      <c r="C529" s="16"/>
      <c r="D529" s="16"/>
      <c r="E529" s="15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16"/>
      <c r="C530" s="16"/>
      <c r="D530" s="16"/>
      <c r="E530" s="15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16"/>
      <c r="C531" s="16"/>
      <c r="D531" s="16"/>
      <c r="E531" s="15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16"/>
      <c r="C532" s="16"/>
      <c r="D532" s="16"/>
      <c r="E532" s="15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16"/>
      <c r="C533" s="16"/>
      <c r="D533" s="16"/>
      <c r="E533" s="15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16"/>
      <c r="C534" s="16"/>
      <c r="D534" s="16"/>
      <c r="E534" s="15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16"/>
      <c r="C535" s="16"/>
      <c r="D535" s="16"/>
      <c r="E535" s="15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16"/>
      <c r="C536" s="16"/>
      <c r="D536" s="16"/>
      <c r="E536" s="15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16"/>
      <c r="C537" s="16"/>
      <c r="D537" s="16"/>
      <c r="E537" s="15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16"/>
      <c r="C538" s="16"/>
      <c r="D538" s="16"/>
      <c r="E538" s="15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16"/>
      <c r="C539" s="16"/>
      <c r="D539" s="16"/>
      <c r="E539" s="15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16"/>
      <c r="C540" s="16"/>
      <c r="D540" s="16"/>
      <c r="E540" s="15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16"/>
      <c r="C541" s="16"/>
      <c r="D541" s="16"/>
      <c r="E541" s="15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16"/>
      <c r="C542" s="16"/>
      <c r="D542" s="16"/>
      <c r="E542" s="15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16"/>
      <c r="C543" s="16"/>
      <c r="D543" s="16"/>
      <c r="E543" s="15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16"/>
      <c r="C544" s="16"/>
      <c r="D544" s="16"/>
      <c r="E544" s="15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16"/>
      <c r="C545" s="16"/>
      <c r="D545" s="16"/>
      <c r="E545" s="15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16"/>
      <c r="C546" s="16"/>
      <c r="D546" s="16"/>
      <c r="E546" s="15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16"/>
      <c r="C547" s="16"/>
      <c r="D547" s="16"/>
      <c r="E547" s="15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16"/>
      <c r="C548" s="16"/>
      <c r="D548" s="16"/>
      <c r="E548" s="15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16"/>
      <c r="C549" s="16"/>
      <c r="D549" s="16"/>
      <c r="E549" s="15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16"/>
      <c r="C550" s="16"/>
      <c r="D550" s="16"/>
      <c r="E550" s="15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16"/>
      <c r="C551" s="16"/>
      <c r="D551" s="16"/>
      <c r="E551" s="15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16"/>
      <c r="C552" s="16"/>
      <c r="D552" s="16"/>
      <c r="E552" s="15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16"/>
      <c r="C553" s="16"/>
      <c r="D553" s="16"/>
      <c r="E553" s="15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16"/>
      <c r="C554" s="16"/>
      <c r="D554" s="16"/>
      <c r="E554" s="15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16"/>
      <c r="C555" s="16"/>
      <c r="D555" s="16"/>
      <c r="E555" s="15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16"/>
      <c r="C556" s="16"/>
      <c r="D556" s="16"/>
      <c r="E556" s="15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16"/>
      <c r="C557" s="16"/>
      <c r="D557" s="16"/>
      <c r="E557" s="15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16"/>
      <c r="C558" s="16"/>
      <c r="D558" s="16"/>
      <c r="E558" s="15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16"/>
      <c r="C559" s="16"/>
      <c r="D559" s="16"/>
      <c r="E559" s="15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16"/>
      <c r="C560" s="16"/>
      <c r="D560" s="16"/>
      <c r="E560" s="15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16"/>
      <c r="C561" s="16"/>
      <c r="D561" s="16"/>
      <c r="E561" s="15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16"/>
      <c r="C562" s="16"/>
      <c r="D562" s="16"/>
      <c r="E562" s="15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16"/>
      <c r="C563" s="16"/>
      <c r="D563" s="16"/>
      <c r="E563" s="15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16"/>
      <c r="C564" s="16"/>
      <c r="D564" s="16"/>
      <c r="E564" s="15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16"/>
      <c r="C565" s="16"/>
      <c r="D565" s="16"/>
      <c r="E565" s="15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16"/>
      <c r="C566" s="16"/>
      <c r="D566" s="16"/>
      <c r="E566" s="15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16"/>
      <c r="C567" s="16"/>
      <c r="D567" s="16"/>
      <c r="E567" s="15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16"/>
      <c r="C568" s="16"/>
      <c r="D568" s="16"/>
      <c r="E568" s="15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16"/>
      <c r="C569" s="16"/>
      <c r="D569" s="16"/>
      <c r="E569" s="15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16"/>
      <c r="C570" s="16"/>
      <c r="D570" s="16"/>
      <c r="E570" s="15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16"/>
      <c r="C571" s="16"/>
      <c r="D571" s="16"/>
      <c r="E571" s="15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16"/>
      <c r="C572" s="16"/>
      <c r="D572" s="16"/>
      <c r="E572" s="15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16"/>
      <c r="C573" s="16"/>
      <c r="D573" s="16"/>
      <c r="E573" s="15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16"/>
      <c r="C574" s="16"/>
      <c r="D574" s="16"/>
      <c r="E574" s="15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16"/>
      <c r="C575" s="16"/>
      <c r="D575" s="16"/>
      <c r="E575" s="15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16"/>
      <c r="C576" s="16"/>
      <c r="D576" s="16"/>
      <c r="E576" s="15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16"/>
      <c r="C577" s="16"/>
      <c r="D577" s="16"/>
      <c r="E577" s="15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16"/>
      <c r="C578" s="16"/>
      <c r="D578" s="16"/>
      <c r="E578" s="15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16"/>
      <c r="C579" s="16"/>
      <c r="D579" s="16"/>
      <c r="E579" s="15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16"/>
      <c r="C580" s="16"/>
      <c r="D580" s="16"/>
      <c r="E580" s="15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16"/>
      <c r="C581" s="16"/>
      <c r="D581" s="16"/>
      <c r="E581" s="15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16"/>
      <c r="C582" s="16"/>
      <c r="D582" s="16"/>
      <c r="E582" s="15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16"/>
      <c r="C583" s="16"/>
      <c r="D583" s="16"/>
      <c r="E583" s="15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16"/>
      <c r="C584" s="16"/>
      <c r="D584" s="16"/>
      <c r="E584" s="15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16"/>
      <c r="C585" s="16"/>
      <c r="D585" s="16"/>
      <c r="E585" s="15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16"/>
      <c r="C586" s="16"/>
      <c r="D586" s="16"/>
      <c r="E586" s="15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16"/>
      <c r="C587" s="16"/>
      <c r="D587" s="16"/>
      <c r="E587" s="15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16"/>
      <c r="C588" s="16"/>
      <c r="D588" s="16"/>
      <c r="E588" s="15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16"/>
      <c r="C589" s="16"/>
      <c r="D589" s="16"/>
      <c r="E589" s="15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16"/>
      <c r="C590" s="16"/>
      <c r="D590" s="16"/>
      <c r="E590" s="15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16"/>
      <c r="C591" s="16"/>
      <c r="D591" s="16"/>
      <c r="E591" s="15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16"/>
      <c r="C592" s="16"/>
      <c r="D592" s="16"/>
      <c r="E592" s="15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16"/>
      <c r="C593" s="16"/>
      <c r="D593" s="16"/>
      <c r="E593" s="15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16"/>
      <c r="C594" s="16"/>
      <c r="D594" s="16"/>
      <c r="E594" s="15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16"/>
      <c r="C595" s="16"/>
      <c r="D595" s="16"/>
      <c r="E595" s="15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16"/>
      <c r="C596" s="16"/>
      <c r="D596" s="16"/>
      <c r="E596" s="15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16"/>
      <c r="C597" s="16"/>
      <c r="D597" s="16"/>
      <c r="E597" s="15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16"/>
      <c r="C598" s="16"/>
      <c r="D598" s="16"/>
      <c r="E598" s="15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16"/>
      <c r="C599" s="16"/>
      <c r="D599" s="16"/>
      <c r="E599" s="15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16"/>
      <c r="C600" s="16"/>
      <c r="D600" s="16"/>
      <c r="E600" s="15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16"/>
      <c r="C601" s="16"/>
      <c r="D601" s="16"/>
      <c r="E601" s="15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16"/>
      <c r="C602" s="16"/>
      <c r="D602" s="16"/>
      <c r="E602" s="15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16"/>
      <c r="C603" s="16"/>
      <c r="D603" s="16"/>
      <c r="E603" s="15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16"/>
      <c r="C604" s="16"/>
      <c r="D604" s="16"/>
      <c r="E604" s="15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16"/>
      <c r="C605" s="16"/>
      <c r="D605" s="16"/>
      <c r="E605" s="15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16"/>
      <c r="C606" s="16"/>
      <c r="D606" s="16"/>
      <c r="E606" s="15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16"/>
      <c r="C607" s="16"/>
      <c r="D607" s="16"/>
      <c r="E607" s="15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16"/>
      <c r="C608" s="16"/>
      <c r="D608" s="16"/>
      <c r="E608" s="15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16"/>
      <c r="C609" s="16"/>
      <c r="D609" s="16"/>
      <c r="E609" s="15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16"/>
      <c r="C610" s="16"/>
      <c r="D610" s="16"/>
      <c r="E610" s="15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16"/>
      <c r="C611" s="16"/>
      <c r="D611" s="16"/>
      <c r="E611" s="15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16"/>
      <c r="C612" s="16"/>
      <c r="D612" s="16"/>
      <c r="E612" s="15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16"/>
      <c r="C613" s="16"/>
      <c r="D613" s="16"/>
      <c r="E613" s="15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16"/>
      <c r="C614" s="16"/>
      <c r="D614" s="16"/>
      <c r="E614" s="15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16"/>
      <c r="C615" s="16"/>
      <c r="D615" s="16"/>
      <c r="E615" s="15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16"/>
      <c r="C616" s="16"/>
      <c r="D616" s="16"/>
      <c r="E616" s="15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16"/>
      <c r="C617" s="16"/>
      <c r="D617" s="16"/>
      <c r="E617" s="15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16"/>
      <c r="C618" s="16"/>
      <c r="D618" s="16"/>
      <c r="E618" s="15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16"/>
      <c r="C619" s="16"/>
      <c r="D619" s="16"/>
      <c r="E619" s="15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16"/>
      <c r="C620" s="16"/>
      <c r="D620" s="16"/>
      <c r="E620" s="15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16"/>
      <c r="C621" s="16"/>
      <c r="D621" s="16"/>
      <c r="E621" s="15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16"/>
      <c r="C622" s="16"/>
      <c r="D622" s="16"/>
      <c r="E622" s="15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16"/>
      <c r="C623" s="16"/>
      <c r="D623" s="16"/>
      <c r="E623" s="15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16"/>
      <c r="C624" s="16"/>
      <c r="D624" s="16"/>
      <c r="E624" s="15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16"/>
      <c r="C625" s="16"/>
      <c r="D625" s="16"/>
      <c r="E625" s="15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16"/>
      <c r="C626" s="16"/>
      <c r="D626" s="16"/>
      <c r="E626" s="15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16"/>
      <c r="C627" s="16"/>
      <c r="D627" s="16"/>
      <c r="E627" s="15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16"/>
      <c r="C628" s="16"/>
      <c r="D628" s="16"/>
      <c r="E628" s="15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16"/>
      <c r="C629" s="16"/>
      <c r="D629" s="16"/>
      <c r="E629" s="15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16"/>
      <c r="C630" s="16"/>
      <c r="D630" s="16"/>
      <c r="E630" s="15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16"/>
      <c r="C631" s="16"/>
      <c r="D631" s="16"/>
      <c r="E631" s="15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16"/>
      <c r="C632" s="16"/>
      <c r="D632" s="16"/>
      <c r="E632" s="15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16"/>
      <c r="C633" s="16"/>
      <c r="D633" s="16"/>
      <c r="E633" s="15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16"/>
      <c r="C634" s="16"/>
      <c r="D634" s="16"/>
      <c r="E634" s="15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16"/>
      <c r="C635" s="16"/>
      <c r="D635" s="16"/>
      <c r="E635" s="15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16"/>
      <c r="C636" s="16"/>
      <c r="D636" s="16"/>
      <c r="E636" s="15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16"/>
      <c r="C637" s="16"/>
      <c r="D637" s="16"/>
      <c r="E637" s="15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16"/>
      <c r="C638" s="16"/>
      <c r="D638" s="16"/>
      <c r="E638" s="15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16"/>
      <c r="C639" s="16"/>
      <c r="D639" s="16"/>
      <c r="E639" s="15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16"/>
      <c r="C640" s="16"/>
      <c r="D640" s="16"/>
      <c r="E640" s="15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16"/>
      <c r="C641" s="16"/>
      <c r="D641" s="16"/>
      <c r="E641" s="15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16"/>
      <c r="C642" s="16"/>
      <c r="D642" s="16"/>
      <c r="E642" s="15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16"/>
      <c r="C643" s="16"/>
      <c r="D643" s="16"/>
      <c r="E643" s="15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16"/>
      <c r="C644" s="16"/>
      <c r="D644" s="16"/>
      <c r="E644" s="15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16"/>
      <c r="C645" s="16"/>
      <c r="D645" s="16"/>
      <c r="E645" s="15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16"/>
      <c r="C646" s="16"/>
      <c r="D646" s="16"/>
      <c r="E646" s="15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16"/>
      <c r="C647" s="16"/>
      <c r="D647" s="16"/>
      <c r="E647" s="15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16"/>
      <c r="C648" s="16"/>
      <c r="D648" s="16"/>
      <c r="E648" s="15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16"/>
      <c r="C649" s="16"/>
      <c r="D649" s="16"/>
      <c r="E649" s="15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16"/>
      <c r="C650" s="16"/>
      <c r="D650" s="16"/>
      <c r="E650" s="15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16"/>
      <c r="C651" s="16"/>
      <c r="D651" s="16"/>
      <c r="E651" s="15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16"/>
      <c r="C652" s="16"/>
      <c r="D652" s="16"/>
      <c r="E652" s="15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16"/>
      <c r="C653" s="16"/>
      <c r="D653" s="16"/>
      <c r="E653" s="15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16"/>
      <c r="C654" s="16"/>
      <c r="D654" s="16"/>
      <c r="E654" s="15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16"/>
      <c r="C655" s="16"/>
      <c r="D655" s="16"/>
      <c r="E655" s="15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16"/>
      <c r="C656" s="16"/>
      <c r="D656" s="16"/>
      <c r="E656" s="15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16"/>
      <c r="C657" s="16"/>
      <c r="D657" s="16"/>
      <c r="E657" s="15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16"/>
      <c r="C658" s="16"/>
      <c r="D658" s="16"/>
      <c r="E658" s="15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16"/>
      <c r="C659" s="16"/>
      <c r="D659" s="16"/>
      <c r="E659" s="15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16"/>
      <c r="C660" s="16"/>
      <c r="D660" s="16"/>
      <c r="E660" s="15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16"/>
      <c r="C661" s="16"/>
      <c r="D661" s="16"/>
      <c r="E661" s="15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16"/>
      <c r="C662" s="16"/>
      <c r="D662" s="16"/>
      <c r="E662" s="15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16"/>
      <c r="C663" s="16"/>
      <c r="D663" s="16"/>
      <c r="E663" s="15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16"/>
      <c r="C664" s="16"/>
      <c r="D664" s="16"/>
      <c r="E664" s="15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16"/>
      <c r="C665" s="16"/>
      <c r="D665" s="16"/>
      <c r="E665" s="15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16"/>
      <c r="C666" s="16"/>
      <c r="D666" s="16"/>
      <c r="E666" s="15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16"/>
      <c r="C667" s="16"/>
      <c r="D667" s="16"/>
      <c r="E667" s="15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16"/>
      <c r="C668" s="16"/>
      <c r="D668" s="16"/>
      <c r="E668" s="15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16"/>
      <c r="C669" s="16"/>
      <c r="D669" s="16"/>
      <c r="E669" s="15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16"/>
      <c r="C670" s="16"/>
      <c r="D670" s="16"/>
      <c r="E670" s="15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16"/>
      <c r="C671" s="16"/>
      <c r="D671" s="16"/>
      <c r="E671" s="15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16"/>
      <c r="C672" s="16"/>
      <c r="D672" s="16"/>
      <c r="E672" s="15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16"/>
      <c r="C673" s="16"/>
      <c r="D673" s="16"/>
      <c r="E673" s="15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16"/>
      <c r="C674" s="16"/>
      <c r="D674" s="16"/>
      <c r="E674" s="15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16"/>
      <c r="C675" s="16"/>
      <c r="D675" s="16"/>
      <c r="E675" s="15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16"/>
      <c r="C676" s="16"/>
      <c r="D676" s="16"/>
      <c r="E676" s="15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16"/>
      <c r="C677" s="16"/>
      <c r="D677" s="16"/>
      <c r="E677" s="15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16"/>
      <c r="C678" s="16"/>
      <c r="D678" s="16"/>
      <c r="E678" s="15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16"/>
      <c r="C679" s="16"/>
      <c r="D679" s="16"/>
      <c r="E679" s="15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16"/>
      <c r="C680" s="16"/>
      <c r="D680" s="16"/>
      <c r="E680" s="15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16"/>
      <c r="C681" s="16"/>
      <c r="D681" s="16"/>
      <c r="E681" s="15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16"/>
      <c r="C682" s="16"/>
      <c r="D682" s="16"/>
      <c r="E682" s="15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16"/>
      <c r="C683" s="16"/>
      <c r="D683" s="16"/>
      <c r="E683" s="15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16"/>
      <c r="C684" s="16"/>
      <c r="D684" s="16"/>
      <c r="E684" s="15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16"/>
      <c r="C685" s="16"/>
      <c r="D685" s="16"/>
      <c r="E685" s="15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16"/>
      <c r="C686" s="16"/>
      <c r="D686" s="16"/>
      <c r="E686" s="15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16"/>
      <c r="C687" s="16"/>
      <c r="D687" s="16"/>
      <c r="E687" s="15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16"/>
      <c r="C688" s="16"/>
      <c r="D688" s="16"/>
      <c r="E688" s="15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16"/>
      <c r="C689" s="16"/>
      <c r="D689" s="16"/>
      <c r="E689" s="15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16"/>
      <c r="C690" s="16"/>
      <c r="D690" s="16"/>
      <c r="E690" s="15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16"/>
      <c r="C691" s="16"/>
      <c r="D691" s="16"/>
      <c r="E691" s="15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16"/>
      <c r="C692" s="16"/>
      <c r="D692" s="16"/>
      <c r="E692" s="15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16"/>
      <c r="C693" s="16"/>
      <c r="D693" s="16"/>
      <c r="E693" s="15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16"/>
      <c r="C694" s="16"/>
      <c r="D694" s="16"/>
      <c r="E694" s="15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16"/>
      <c r="C695" s="16"/>
      <c r="D695" s="16"/>
      <c r="E695" s="15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16"/>
      <c r="C696" s="16"/>
      <c r="D696" s="16"/>
      <c r="E696" s="15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16"/>
      <c r="C697" s="16"/>
      <c r="D697" s="16"/>
      <c r="E697" s="15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16"/>
      <c r="C698" s="16"/>
      <c r="D698" s="16"/>
      <c r="E698" s="15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16"/>
      <c r="C699" s="16"/>
      <c r="D699" s="16"/>
      <c r="E699" s="15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16"/>
      <c r="C700" s="16"/>
      <c r="D700" s="16"/>
      <c r="E700" s="15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16"/>
      <c r="C701" s="16"/>
      <c r="D701" s="16"/>
      <c r="E701" s="15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16"/>
      <c r="C702" s="16"/>
      <c r="D702" s="16"/>
      <c r="E702" s="15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16"/>
      <c r="C703" s="16"/>
      <c r="D703" s="16"/>
      <c r="E703" s="15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16"/>
      <c r="C704" s="16"/>
      <c r="D704" s="16"/>
      <c r="E704" s="15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16"/>
      <c r="C705" s="16"/>
      <c r="D705" s="16"/>
      <c r="E705" s="15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16"/>
      <c r="C706" s="16"/>
      <c r="D706" s="16"/>
      <c r="E706" s="15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16"/>
      <c r="C707" s="16"/>
      <c r="D707" s="16"/>
      <c r="E707" s="15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16"/>
      <c r="C708" s="16"/>
      <c r="D708" s="16"/>
      <c r="E708" s="15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16"/>
      <c r="C709" s="16"/>
      <c r="D709" s="16"/>
      <c r="E709" s="15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16"/>
      <c r="C710" s="16"/>
      <c r="D710" s="16"/>
      <c r="E710" s="15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16"/>
      <c r="C711" s="16"/>
      <c r="D711" s="16"/>
      <c r="E711" s="15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16"/>
      <c r="C712" s="16"/>
      <c r="D712" s="16"/>
      <c r="E712" s="15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16"/>
      <c r="C713" s="16"/>
      <c r="D713" s="16"/>
      <c r="E713" s="15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16"/>
      <c r="C714" s="16"/>
      <c r="D714" s="16"/>
      <c r="E714" s="15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16"/>
      <c r="C715" s="16"/>
      <c r="D715" s="16"/>
      <c r="E715" s="15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16"/>
      <c r="C716" s="16"/>
      <c r="D716" s="16"/>
      <c r="E716" s="15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16"/>
      <c r="C717" s="16"/>
      <c r="D717" s="16"/>
      <c r="E717" s="15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16"/>
      <c r="C718" s="16"/>
      <c r="D718" s="16"/>
      <c r="E718" s="15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16"/>
      <c r="C719" s="16"/>
      <c r="D719" s="16"/>
      <c r="E719" s="15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16"/>
      <c r="C720" s="16"/>
      <c r="D720" s="16"/>
      <c r="E720" s="15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16"/>
      <c r="C721" s="16"/>
      <c r="D721" s="16"/>
      <c r="E721" s="15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16"/>
      <c r="C722" s="16"/>
      <c r="D722" s="16"/>
      <c r="E722" s="15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16"/>
      <c r="C723" s="16"/>
      <c r="D723" s="16"/>
      <c r="E723" s="15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16"/>
      <c r="C724" s="16"/>
      <c r="D724" s="16"/>
      <c r="E724" s="15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16"/>
      <c r="C725" s="16"/>
      <c r="D725" s="16"/>
      <c r="E725" s="15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16"/>
      <c r="C726" s="16"/>
      <c r="D726" s="16"/>
      <c r="E726" s="15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16"/>
      <c r="C727" s="16"/>
      <c r="D727" s="16"/>
      <c r="E727" s="15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16"/>
      <c r="C728" s="16"/>
      <c r="D728" s="16"/>
      <c r="E728" s="15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16"/>
      <c r="C729" s="16"/>
      <c r="D729" s="16"/>
      <c r="E729" s="15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16"/>
      <c r="C730" s="16"/>
      <c r="D730" s="16"/>
      <c r="E730" s="15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16"/>
      <c r="C731" s="16"/>
      <c r="D731" s="16"/>
      <c r="E731" s="15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16"/>
      <c r="C732" s="16"/>
      <c r="D732" s="16"/>
      <c r="E732" s="15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16"/>
      <c r="C733" s="16"/>
      <c r="D733" s="16"/>
      <c r="E733" s="15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16"/>
      <c r="C734" s="16"/>
      <c r="D734" s="16"/>
      <c r="E734" s="15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16"/>
      <c r="C735" s="16"/>
      <c r="D735" s="16"/>
      <c r="E735" s="15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16"/>
      <c r="C736" s="16"/>
      <c r="D736" s="16"/>
      <c r="E736" s="15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16"/>
      <c r="C737" s="16"/>
      <c r="D737" s="16"/>
      <c r="E737" s="15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16"/>
      <c r="C738" s="16"/>
      <c r="D738" s="16"/>
      <c r="E738" s="15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16"/>
      <c r="C739" s="16"/>
      <c r="D739" s="16"/>
      <c r="E739" s="15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16"/>
      <c r="C740" s="16"/>
      <c r="D740" s="16"/>
      <c r="E740" s="15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16"/>
      <c r="C741" s="16"/>
      <c r="D741" s="16"/>
      <c r="E741" s="15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16"/>
      <c r="C742" s="16"/>
      <c r="D742" s="16"/>
      <c r="E742" s="15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16"/>
      <c r="C743" s="16"/>
      <c r="D743" s="16"/>
      <c r="E743" s="15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16"/>
      <c r="C744" s="16"/>
      <c r="D744" s="16"/>
      <c r="E744" s="15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16"/>
      <c r="C745" s="16"/>
      <c r="D745" s="16"/>
      <c r="E745" s="15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16"/>
      <c r="C746" s="16"/>
      <c r="D746" s="16"/>
      <c r="E746" s="15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16"/>
      <c r="C747" s="16"/>
      <c r="D747" s="16"/>
      <c r="E747" s="15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16"/>
      <c r="C748" s="16"/>
      <c r="D748" s="16"/>
      <c r="E748" s="15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16"/>
      <c r="C749" s="16"/>
      <c r="D749" s="16"/>
      <c r="E749" s="15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16"/>
      <c r="C750" s="16"/>
      <c r="D750" s="16"/>
      <c r="E750" s="15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16"/>
      <c r="C751" s="16"/>
      <c r="D751" s="16"/>
      <c r="E751" s="15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16"/>
      <c r="C752" s="16"/>
      <c r="D752" s="16"/>
      <c r="E752" s="15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16"/>
      <c r="C753" s="16"/>
      <c r="D753" s="16"/>
      <c r="E753" s="15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16"/>
      <c r="C754" s="16"/>
      <c r="D754" s="16"/>
      <c r="E754" s="15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16"/>
      <c r="C755" s="16"/>
      <c r="D755" s="16"/>
      <c r="E755" s="15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16"/>
      <c r="C756" s="16"/>
      <c r="D756" s="16"/>
      <c r="E756" s="15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16"/>
      <c r="C757" s="16"/>
      <c r="D757" s="16"/>
      <c r="E757" s="15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16"/>
      <c r="C758" s="16"/>
      <c r="D758" s="16"/>
      <c r="E758" s="15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16"/>
      <c r="C759" s="16"/>
      <c r="D759" s="16"/>
      <c r="E759" s="15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16"/>
      <c r="C760" s="16"/>
      <c r="D760" s="16"/>
      <c r="E760" s="15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16"/>
      <c r="C761" s="16"/>
      <c r="D761" s="16"/>
      <c r="E761" s="15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16"/>
      <c r="C762" s="16"/>
      <c r="D762" s="16"/>
      <c r="E762" s="15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16"/>
      <c r="C763" s="16"/>
      <c r="D763" s="16"/>
      <c r="E763" s="15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16"/>
      <c r="C764" s="16"/>
      <c r="D764" s="16"/>
      <c r="E764" s="15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16"/>
      <c r="C765" s="16"/>
      <c r="D765" s="16"/>
      <c r="E765" s="15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16"/>
      <c r="C766" s="16"/>
      <c r="D766" s="16"/>
      <c r="E766" s="15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16"/>
      <c r="C767" s="16"/>
      <c r="D767" s="16"/>
      <c r="E767" s="15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16"/>
      <c r="C768" s="16"/>
      <c r="D768" s="16"/>
      <c r="E768" s="15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16"/>
      <c r="C769" s="16"/>
      <c r="D769" s="16"/>
      <c r="E769" s="15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16"/>
      <c r="C770" s="16"/>
      <c r="D770" s="16"/>
      <c r="E770" s="15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16"/>
      <c r="C771" s="16"/>
      <c r="D771" s="16"/>
      <c r="E771" s="15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16"/>
      <c r="C772" s="16"/>
      <c r="D772" s="16"/>
      <c r="E772" s="15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16"/>
      <c r="C773" s="16"/>
      <c r="D773" s="16"/>
      <c r="E773" s="15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16"/>
      <c r="C774" s="16"/>
      <c r="D774" s="16"/>
      <c r="E774" s="15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16"/>
      <c r="C775" s="16"/>
      <c r="D775" s="16"/>
      <c r="E775" s="15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16"/>
      <c r="C776" s="16"/>
      <c r="D776" s="16"/>
      <c r="E776" s="15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16"/>
      <c r="C777" s="16"/>
      <c r="D777" s="16"/>
      <c r="E777" s="15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16"/>
      <c r="C778" s="16"/>
      <c r="D778" s="16"/>
      <c r="E778" s="15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16"/>
      <c r="C779" s="16"/>
      <c r="D779" s="16"/>
      <c r="E779" s="15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16"/>
      <c r="C780" s="16"/>
      <c r="D780" s="16"/>
      <c r="E780" s="15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16"/>
      <c r="C781" s="16"/>
      <c r="D781" s="16"/>
      <c r="E781" s="15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16"/>
      <c r="C782" s="16"/>
      <c r="D782" s="16"/>
      <c r="E782" s="15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16"/>
      <c r="C783" s="16"/>
      <c r="D783" s="16"/>
      <c r="E783" s="15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16"/>
      <c r="C784" s="16"/>
      <c r="D784" s="16"/>
      <c r="E784" s="15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16"/>
      <c r="C785" s="16"/>
      <c r="D785" s="16"/>
      <c r="E785" s="15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16"/>
      <c r="C786" s="16"/>
      <c r="D786" s="16"/>
      <c r="E786" s="15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16"/>
      <c r="C787" s="16"/>
      <c r="D787" s="16"/>
      <c r="E787" s="15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16"/>
      <c r="C788" s="16"/>
      <c r="D788" s="16"/>
      <c r="E788" s="15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16"/>
      <c r="C789" s="16"/>
      <c r="D789" s="16"/>
      <c r="E789" s="15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16"/>
      <c r="C790" s="16"/>
      <c r="D790" s="16"/>
      <c r="E790" s="15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16"/>
      <c r="C791" s="16"/>
      <c r="D791" s="16"/>
      <c r="E791" s="15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16"/>
      <c r="C792" s="16"/>
      <c r="D792" s="16"/>
      <c r="E792" s="15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16"/>
      <c r="C793" s="16"/>
      <c r="D793" s="16"/>
      <c r="E793" s="15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16"/>
      <c r="C794" s="16"/>
      <c r="D794" s="16"/>
      <c r="E794" s="15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16"/>
      <c r="C795" s="16"/>
      <c r="D795" s="16"/>
      <c r="E795" s="15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16"/>
      <c r="C796" s="16"/>
      <c r="D796" s="16"/>
      <c r="E796" s="15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16"/>
      <c r="C797" s="16"/>
      <c r="D797" s="16"/>
      <c r="E797" s="15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16"/>
      <c r="C798" s="16"/>
      <c r="D798" s="16"/>
      <c r="E798" s="15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16"/>
      <c r="C799" s="16"/>
      <c r="D799" s="16"/>
      <c r="E799" s="15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16"/>
      <c r="C800" s="16"/>
      <c r="D800" s="16"/>
      <c r="E800" s="15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16"/>
      <c r="C801" s="16"/>
      <c r="D801" s="16"/>
      <c r="E801" s="15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16"/>
      <c r="C802" s="16"/>
      <c r="D802" s="16"/>
      <c r="E802" s="15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16"/>
      <c r="C803" s="16"/>
      <c r="D803" s="16"/>
      <c r="E803" s="15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16"/>
      <c r="C804" s="16"/>
      <c r="D804" s="16"/>
      <c r="E804" s="15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16"/>
      <c r="C805" s="16"/>
      <c r="D805" s="16"/>
      <c r="E805" s="15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16"/>
      <c r="C806" s="16"/>
      <c r="D806" s="16"/>
      <c r="E806" s="15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16"/>
      <c r="C807" s="16"/>
      <c r="D807" s="16"/>
      <c r="E807" s="15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16"/>
      <c r="C808" s="16"/>
      <c r="D808" s="16"/>
      <c r="E808" s="15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16"/>
      <c r="C809" s="16"/>
      <c r="D809" s="16"/>
      <c r="E809" s="15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16"/>
      <c r="C810" s="16"/>
      <c r="D810" s="16"/>
      <c r="E810" s="15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16"/>
      <c r="C811" s="16"/>
      <c r="D811" s="16"/>
      <c r="E811" s="15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16"/>
      <c r="C812" s="16"/>
      <c r="D812" s="16"/>
      <c r="E812" s="15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16"/>
      <c r="C813" s="16"/>
      <c r="D813" s="16"/>
      <c r="E813" s="15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16"/>
      <c r="C814" s="16"/>
      <c r="D814" s="16"/>
      <c r="E814" s="15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16"/>
      <c r="C815" s="16"/>
      <c r="D815" s="16"/>
      <c r="E815" s="15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16"/>
      <c r="C816" s="16"/>
      <c r="D816" s="16"/>
      <c r="E816" s="15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16"/>
      <c r="C817" s="16"/>
      <c r="D817" s="16"/>
      <c r="E817" s="15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16"/>
      <c r="C818" s="16"/>
      <c r="D818" s="16"/>
      <c r="E818" s="15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16"/>
      <c r="C819" s="16"/>
      <c r="D819" s="16"/>
      <c r="E819" s="15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16"/>
      <c r="C820" s="16"/>
      <c r="D820" s="16"/>
      <c r="E820" s="15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16"/>
      <c r="C821" s="16"/>
      <c r="D821" s="16"/>
      <c r="E821" s="15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16"/>
      <c r="C822" s="16"/>
      <c r="D822" s="16"/>
      <c r="E822" s="15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16"/>
      <c r="C823" s="16"/>
      <c r="D823" s="16"/>
      <c r="E823" s="15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16"/>
      <c r="C824" s="16"/>
      <c r="D824" s="16"/>
      <c r="E824" s="15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16"/>
      <c r="C825" s="16"/>
      <c r="D825" s="16"/>
      <c r="E825" s="15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16"/>
      <c r="C826" s="16"/>
      <c r="D826" s="16"/>
      <c r="E826" s="15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16"/>
      <c r="C827" s="16"/>
      <c r="D827" s="16"/>
      <c r="E827" s="15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16"/>
      <c r="C828" s="16"/>
      <c r="D828" s="16"/>
      <c r="E828" s="15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16"/>
      <c r="C829" s="16"/>
      <c r="D829" s="16"/>
      <c r="E829" s="15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16"/>
      <c r="C830" s="16"/>
      <c r="D830" s="16"/>
      <c r="E830" s="15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16"/>
      <c r="C831" s="16"/>
      <c r="D831" s="16"/>
      <c r="E831" s="15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16"/>
      <c r="C832" s="16"/>
      <c r="D832" s="16"/>
      <c r="E832" s="15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16"/>
      <c r="C833" s="16"/>
      <c r="D833" s="16"/>
      <c r="E833" s="15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16"/>
      <c r="C834" s="16"/>
      <c r="D834" s="16"/>
      <c r="E834" s="15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16"/>
      <c r="C835" s="16"/>
      <c r="D835" s="16"/>
      <c r="E835" s="15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16"/>
      <c r="C836" s="16"/>
      <c r="D836" s="16"/>
      <c r="E836" s="15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16"/>
      <c r="C837" s="16"/>
      <c r="D837" s="16"/>
      <c r="E837" s="15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16"/>
      <c r="C838" s="16"/>
      <c r="D838" s="16"/>
      <c r="E838" s="15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16"/>
      <c r="C839" s="16"/>
      <c r="D839" s="16"/>
      <c r="E839" s="15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16"/>
      <c r="C840" s="16"/>
      <c r="D840" s="16"/>
      <c r="E840" s="15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16"/>
      <c r="C841" s="16"/>
      <c r="D841" s="16"/>
      <c r="E841" s="15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16"/>
      <c r="C842" s="16"/>
      <c r="D842" s="16"/>
      <c r="E842" s="15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16"/>
      <c r="C843" s="16"/>
      <c r="D843" s="16"/>
      <c r="E843" s="15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16"/>
      <c r="C844" s="16"/>
      <c r="D844" s="16"/>
      <c r="E844" s="15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16"/>
      <c r="C845" s="16"/>
      <c r="D845" s="16"/>
      <c r="E845" s="15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16"/>
      <c r="C846" s="16"/>
      <c r="D846" s="16"/>
      <c r="E846" s="15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16"/>
      <c r="C847" s="16"/>
      <c r="D847" s="16"/>
      <c r="E847" s="15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16"/>
      <c r="C848" s="16"/>
      <c r="D848" s="16"/>
      <c r="E848" s="15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16"/>
      <c r="C849" s="16"/>
      <c r="D849" s="16"/>
      <c r="E849" s="15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16"/>
      <c r="C850" s="16"/>
      <c r="D850" s="16"/>
      <c r="E850" s="15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16"/>
      <c r="C851" s="16"/>
      <c r="D851" s="16"/>
      <c r="E851" s="15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16"/>
      <c r="C852" s="16"/>
      <c r="D852" s="16"/>
      <c r="E852" s="15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16"/>
      <c r="C853" s="16"/>
      <c r="D853" s="16"/>
      <c r="E853" s="15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16"/>
      <c r="C854" s="16"/>
      <c r="D854" s="16"/>
      <c r="E854" s="15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16"/>
      <c r="C855" s="16"/>
      <c r="D855" s="16"/>
      <c r="E855" s="15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16"/>
      <c r="C856" s="16"/>
      <c r="D856" s="16"/>
      <c r="E856" s="15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16"/>
      <c r="C857" s="16"/>
      <c r="D857" s="16"/>
      <c r="E857" s="15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16"/>
      <c r="C858" s="16"/>
      <c r="D858" s="16"/>
      <c r="E858" s="15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16"/>
      <c r="C859" s="16"/>
      <c r="D859" s="16"/>
      <c r="E859" s="15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16"/>
      <c r="C860" s="16"/>
      <c r="D860" s="16"/>
      <c r="E860" s="15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16"/>
      <c r="C861" s="16"/>
      <c r="D861" s="16"/>
      <c r="E861" s="15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16"/>
      <c r="C862" s="16"/>
      <c r="D862" s="16"/>
      <c r="E862" s="15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16"/>
      <c r="C863" s="16"/>
      <c r="D863" s="16"/>
      <c r="E863" s="15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16"/>
      <c r="C864" s="16"/>
      <c r="D864" s="16"/>
      <c r="E864" s="15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16"/>
      <c r="C865" s="16"/>
      <c r="D865" s="16"/>
      <c r="E865" s="15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16"/>
      <c r="C866" s="16"/>
      <c r="D866" s="16"/>
      <c r="E866" s="15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16"/>
      <c r="C867" s="16"/>
      <c r="D867" s="16"/>
      <c r="E867" s="15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16"/>
      <c r="C868" s="16"/>
      <c r="D868" s="16"/>
      <c r="E868" s="15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16"/>
      <c r="C869" s="16"/>
      <c r="D869" s="16"/>
      <c r="E869" s="15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16"/>
      <c r="C870" s="16"/>
      <c r="D870" s="16"/>
      <c r="E870" s="15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16"/>
      <c r="C871" s="16"/>
      <c r="D871" s="16"/>
      <c r="E871" s="15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16"/>
      <c r="C872" s="16"/>
      <c r="D872" s="16"/>
      <c r="E872" s="15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16"/>
      <c r="C873" s="16"/>
      <c r="D873" s="16"/>
      <c r="E873" s="15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16"/>
      <c r="C874" s="16"/>
      <c r="D874" s="16"/>
      <c r="E874" s="15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16"/>
      <c r="C875" s="16"/>
      <c r="D875" s="16"/>
      <c r="E875" s="15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16"/>
      <c r="C876" s="16"/>
      <c r="D876" s="16"/>
      <c r="E876" s="15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16"/>
      <c r="C877" s="16"/>
      <c r="D877" s="16"/>
      <c r="E877" s="15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16"/>
      <c r="C878" s="16"/>
      <c r="D878" s="16"/>
      <c r="E878" s="15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16"/>
      <c r="C879" s="16"/>
      <c r="D879" s="16"/>
      <c r="E879" s="15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16"/>
      <c r="C880" s="16"/>
      <c r="D880" s="16"/>
      <c r="E880" s="15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16"/>
      <c r="C881" s="16"/>
      <c r="D881" s="16"/>
      <c r="E881" s="15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16"/>
      <c r="C882" s="16"/>
      <c r="D882" s="16"/>
      <c r="E882" s="15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16"/>
      <c r="C883" s="16"/>
      <c r="D883" s="16"/>
      <c r="E883" s="15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16"/>
      <c r="C884" s="16"/>
      <c r="D884" s="16"/>
      <c r="E884" s="15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16"/>
      <c r="C885" s="16"/>
      <c r="D885" s="16"/>
      <c r="E885" s="15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16"/>
      <c r="C886" s="16"/>
      <c r="D886" s="16"/>
      <c r="E886" s="15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16"/>
      <c r="C887" s="16"/>
      <c r="D887" s="16"/>
      <c r="E887" s="15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16"/>
      <c r="C888" s="16"/>
      <c r="D888" s="16"/>
      <c r="E888" s="15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16"/>
      <c r="C889" s="16"/>
      <c r="D889" s="16"/>
      <c r="E889" s="15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16"/>
      <c r="C890" s="16"/>
      <c r="D890" s="16"/>
      <c r="E890" s="15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16"/>
      <c r="C891" s="16"/>
      <c r="D891" s="16"/>
      <c r="E891" s="15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16"/>
      <c r="C892" s="16"/>
      <c r="D892" s="16"/>
      <c r="E892" s="15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16"/>
      <c r="C893" s="16"/>
      <c r="D893" s="16"/>
      <c r="E893" s="15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16"/>
      <c r="C894" s="16"/>
      <c r="D894" s="16"/>
      <c r="E894" s="15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16"/>
      <c r="C895" s="16"/>
      <c r="D895" s="16"/>
      <c r="E895" s="15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16"/>
      <c r="C896" s="16"/>
      <c r="D896" s="16"/>
      <c r="E896" s="15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16"/>
      <c r="C897" s="16"/>
      <c r="D897" s="16"/>
      <c r="E897" s="15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16"/>
      <c r="C898" s="16"/>
      <c r="D898" s="16"/>
      <c r="E898" s="15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16"/>
      <c r="C899" s="16"/>
      <c r="D899" s="16"/>
      <c r="E899" s="15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16"/>
      <c r="C900" s="16"/>
      <c r="D900" s="16"/>
      <c r="E900" s="15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16"/>
      <c r="C901" s="16"/>
      <c r="D901" s="16"/>
      <c r="E901" s="15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16"/>
      <c r="C902" s="16"/>
      <c r="D902" s="16"/>
      <c r="E902" s="15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16"/>
      <c r="C903" s="16"/>
      <c r="D903" s="16"/>
      <c r="E903" s="15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16"/>
      <c r="C904" s="16"/>
      <c r="D904" s="16"/>
      <c r="E904" s="15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16"/>
      <c r="C905" s="16"/>
      <c r="D905" s="16"/>
      <c r="E905" s="15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16"/>
      <c r="C906" s="16"/>
      <c r="D906" s="16"/>
      <c r="E906" s="15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16"/>
      <c r="C907" s="16"/>
      <c r="D907" s="16"/>
      <c r="E907" s="15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16"/>
      <c r="C908" s="16"/>
      <c r="D908" s="16"/>
      <c r="E908" s="15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16"/>
      <c r="C909" s="16"/>
      <c r="D909" s="16"/>
      <c r="E909" s="15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16"/>
      <c r="C910" s="16"/>
      <c r="D910" s="16"/>
      <c r="E910" s="15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16"/>
      <c r="C911" s="16"/>
      <c r="D911" s="16"/>
      <c r="E911" s="15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16"/>
      <c r="C912" s="16"/>
      <c r="D912" s="16"/>
      <c r="E912" s="15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16"/>
      <c r="C913" s="16"/>
      <c r="D913" s="16"/>
      <c r="E913" s="15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16"/>
      <c r="C914" s="16"/>
      <c r="D914" s="16"/>
      <c r="E914" s="15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16"/>
      <c r="C915" s="16"/>
      <c r="D915" s="16"/>
      <c r="E915" s="15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16"/>
      <c r="C916" s="16"/>
      <c r="D916" s="16"/>
      <c r="E916" s="15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16"/>
      <c r="C917" s="16"/>
      <c r="D917" s="16"/>
      <c r="E917" s="15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16"/>
      <c r="C918" s="16"/>
      <c r="D918" s="16"/>
      <c r="E918" s="15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16"/>
      <c r="C919" s="16"/>
      <c r="D919" s="16"/>
      <c r="E919" s="15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16"/>
      <c r="C920" s="16"/>
      <c r="D920" s="16"/>
      <c r="E920" s="15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16"/>
      <c r="C921" s="16"/>
      <c r="D921" s="16"/>
      <c r="E921" s="15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16"/>
      <c r="C922" s="16"/>
      <c r="D922" s="16"/>
      <c r="E922" s="15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16"/>
      <c r="C923" s="16"/>
      <c r="D923" s="16"/>
      <c r="E923" s="15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16"/>
      <c r="C924" s="16"/>
      <c r="D924" s="16"/>
      <c r="E924" s="15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16"/>
      <c r="C925" s="16"/>
      <c r="D925" s="16"/>
      <c r="E925" s="15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16"/>
      <c r="C926" s="16"/>
      <c r="D926" s="16"/>
      <c r="E926" s="15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16"/>
      <c r="C927" s="16"/>
      <c r="D927" s="16"/>
      <c r="E927" s="15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16"/>
      <c r="C928" s="16"/>
      <c r="D928" s="16"/>
      <c r="E928" s="15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16"/>
      <c r="C929" s="16"/>
      <c r="D929" s="16"/>
      <c r="E929" s="15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16"/>
      <c r="C930" s="16"/>
      <c r="D930" s="16"/>
      <c r="E930" s="15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16"/>
      <c r="C931" s="16"/>
      <c r="D931" s="16"/>
      <c r="E931" s="15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16"/>
      <c r="C932" s="16"/>
      <c r="D932" s="16"/>
      <c r="E932" s="15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16"/>
      <c r="C933" s="16"/>
      <c r="D933" s="16"/>
      <c r="E933" s="15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16"/>
      <c r="C934" s="16"/>
      <c r="D934" s="16"/>
      <c r="E934" s="15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16"/>
      <c r="C935" s="16"/>
      <c r="D935" s="16"/>
      <c r="E935" s="15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16"/>
      <c r="C936" s="16"/>
      <c r="D936" s="16"/>
      <c r="E936" s="15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16"/>
      <c r="C937" s="16"/>
      <c r="D937" s="16"/>
      <c r="E937" s="15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16"/>
      <c r="C938" s="16"/>
      <c r="D938" s="16"/>
      <c r="E938" s="15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16"/>
      <c r="C939" s="16"/>
      <c r="D939" s="16"/>
      <c r="E939" s="15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16"/>
      <c r="C940" s="16"/>
      <c r="D940" s="16"/>
      <c r="E940" s="15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16"/>
      <c r="C941" s="16"/>
      <c r="D941" s="16"/>
      <c r="E941" s="15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16"/>
      <c r="C942" s="16"/>
      <c r="D942" s="16"/>
      <c r="E942" s="15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16"/>
      <c r="C943" s="16"/>
      <c r="D943" s="16"/>
      <c r="E943" s="15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16"/>
      <c r="C944" s="16"/>
      <c r="D944" s="16"/>
      <c r="E944" s="15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16"/>
      <c r="C945" s="16"/>
      <c r="D945" s="16"/>
      <c r="E945" s="15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16"/>
      <c r="C946" s="16"/>
      <c r="D946" s="16"/>
      <c r="E946" s="15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16"/>
      <c r="C947" s="16"/>
      <c r="D947" s="16"/>
      <c r="E947" s="15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16"/>
      <c r="C948" s="16"/>
      <c r="D948" s="16"/>
      <c r="E948" s="15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16"/>
      <c r="C949" s="16"/>
      <c r="D949" s="16"/>
      <c r="E949" s="15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16"/>
      <c r="C950" s="16"/>
      <c r="D950" s="16"/>
      <c r="E950" s="15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16"/>
      <c r="C951" s="16"/>
      <c r="D951" s="16"/>
      <c r="E951" s="15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16"/>
      <c r="C952" s="16"/>
      <c r="D952" s="16"/>
      <c r="E952" s="15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16"/>
      <c r="C953" s="16"/>
      <c r="D953" s="16"/>
      <c r="E953" s="15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16"/>
      <c r="C954" s="16"/>
      <c r="D954" s="16"/>
      <c r="E954" s="15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16"/>
      <c r="C955" s="16"/>
      <c r="D955" s="16"/>
      <c r="E955" s="15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16"/>
      <c r="C956" s="16"/>
      <c r="D956" s="16"/>
      <c r="E956" s="15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16"/>
      <c r="C957" s="16"/>
      <c r="D957" s="16"/>
      <c r="E957" s="15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16"/>
      <c r="C958" s="16"/>
      <c r="D958" s="16"/>
      <c r="E958" s="15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16"/>
      <c r="C959" s="16"/>
      <c r="D959" s="16"/>
      <c r="E959" s="15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16"/>
      <c r="C960" s="16"/>
      <c r="D960" s="16"/>
      <c r="E960" s="15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16"/>
      <c r="C961" s="16"/>
      <c r="D961" s="16"/>
      <c r="E961" s="15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16"/>
      <c r="C962" s="16"/>
      <c r="D962" s="16"/>
      <c r="E962" s="15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16"/>
      <c r="C963" s="16"/>
      <c r="D963" s="16"/>
      <c r="E963" s="15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16"/>
      <c r="C964" s="16"/>
      <c r="D964" s="16"/>
      <c r="E964" s="15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16"/>
      <c r="C965" s="16"/>
      <c r="D965" s="16"/>
      <c r="E965" s="15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16"/>
      <c r="C966" s="16"/>
      <c r="D966" s="16"/>
      <c r="E966" s="15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16"/>
      <c r="C967" s="16"/>
      <c r="D967" s="16"/>
      <c r="E967" s="15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16"/>
      <c r="C968" s="16"/>
      <c r="D968" s="16"/>
      <c r="E968" s="15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16"/>
      <c r="C969" s="16"/>
      <c r="D969" s="16"/>
      <c r="E969" s="15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16"/>
      <c r="C970" s="16"/>
      <c r="D970" s="16"/>
      <c r="E970" s="15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16"/>
      <c r="C971" s="16"/>
      <c r="D971" s="16"/>
      <c r="E971" s="15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16"/>
      <c r="C972" s="16"/>
      <c r="D972" s="16"/>
      <c r="E972" s="15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16"/>
      <c r="C973" s="16"/>
      <c r="D973" s="16"/>
      <c r="E973" s="15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16"/>
      <c r="C974" s="16"/>
      <c r="D974" s="16"/>
      <c r="E974" s="15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16"/>
      <c r="C975" s="16"/>
      <c r="D975" s="16"/>
      <c r="E975" s="15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16"/>
      <c r="C976" s="16"/>
      <c r="D976" s="16"/>
      <c r="E976" s="15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16"/>
      <c r="C977" s="16"/>
      <c r="D977" s="16"/>
      <c r="E977" s="15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16"/>
      <c r="C978" s="16"/>
      <c r="D978" s="16"/>
      <c r="E978" s="15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16"/>
      <c r="C979" s="16"/>
      <c r="D979" s="16"/>
      <c r="E979" s="15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16"/>
      <c r="C980" s="16"/>
      <c r="D980" s="16"/>
      <c r="E980" s="15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16"/>
      <c r="C981" s="16"/>
      <c r="D981" s="16"/>
      <c r="E981" s="15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16"/>
      <c r="C982" s="16"/>
      <c r="D982" s="16"/>
      <c r="E982" s="15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16"/>
      <c r="C983" s="16"/>
      <c r="D983" s="16"/>
      <c r="E983" s="15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16"/>
      <c r="C984" s="16"/>
      <c r="D984" s="16"/>
      <c r="E984" s="15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16"/>
      <c r="C985" s="16"/>
      <c r="D985" s="16"/>
      <c r="E985" s="15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16"/>
      <c r="C986" s="16"/>
      <c r="D986" s="16"/>
      <c r="E986" s="15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16"/>
      <c r="C987" s="16"/>
      <c r="D987" s="16"/>
      <c r="E987" s="15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16"/>
      <c r="C988" s="16"/>
      <c r="D988" s="16"/>
      <c r="E988" s="15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16"/>
      <c r="C989" s="16"/>
      <c r="D989" s="16"/>
      <c r="E989" s="15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16"/>
      <c r="C990" s="16"/>
      <c r="D990" s="16"/>
      <c r="E990" s="15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16"/>
      <c r="C991" s="16"/>
      <c r="D991" s="16"/>
      <c r="E991" s="15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16"/>
      <c r="C992" s="16"/>
      <c r="D992" s="16"/>
      <c r="E992" s="15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16"/>
      <c r="C993" s="16"/>
      <c r="D993" s="16"/>
      <c r="E993" s="15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16"/>
      <c r="C994" s="16"/>
      <c r="D994" s="16"/>
      <c r="E994" s="15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16"/>
      <c r="C995" s="16"/>
      <c r="D995" s="16"/>
      <c r="E995" s="15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16"/>
      <c r="C996" s="16"/>
      <c r="D996" s="16"/>
      <c r="E996" s="15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16"/>
      <c r="C997" s="16"/>
      <c r="D997" s="16"/>
      <c r="E997" s="15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16"/>
      <c r="C998" s="16"/>
      <c r="D998" s="16"/>
      <c r="E998" s="15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16"/>
      <c r="C999" s="16"/>
      <c r="D999" s="16"/>
      <c r="E999" s="15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16"/>
      <c r="C1000" s="16"/>
      <c r="D1000" s="16"/>
      <c r="E1000" s="15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16"/>
      <c r="C1001" s="16"/>
      <c r="D1001" s="16"/>
      <c r="E1001" s="15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16"/>
      <c r="C1002" s="16"/>
      <c r="D1002" s="16"/>
      <c r="E1002" s="15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16"/>
      <c r="C1003" s="16"/>
      <c r="D1003" s="16"/>
      <c r="E1003" s="15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16"/>
      <c r="C1004" s="16"/>
      <c r="D1004" s="16"/>
      <c r="E1004" s="15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16"/>
      <c r="C1005" s="16"/>
      <c r="D1005" s="16"/>
      <c r="E1005" s="15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3"/>
      <c r="B1006" s="16"/>
      <c r="C1006" s="16"/>
      <c r="D1006" s="16"/>
      <c r="E1006" s="15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3"/>
      <c r="B1007" s="16"/>
      <c r="C1007" s="16"/>
      <c r="D1007" s="16"/>
      <c r="E1007" s="15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3"/>
      <c r="B1008" s="16"/>
      <c r="C1008" s="16"/>
      <c r="D1008" s="16"/>
      <c r="E1008" s="15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3"/>
      <c r="B1009" s="16"/>
      <c r="C1009" s="16"/>
      <c r="D1009" s="16"/>
      <c r="E1009" s="15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3"/>
      <c r="B1010" s="16"/>
      <c r="C1010" s="16"/>
      <c r="D1010" s="16"/>
      <c r="E1010" s="15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3"/>
      <c r="B1011" s="16"/>
      <c r="C1011" s="16"/>
      <c r="D1011" s="16"/>
      <c r="E1011" s="15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3"/>
      <c r="B1012" s="16"/>
      <c r="C1012" s="16"/>
      <c r="D1012" s="16"/>
      <c r="E1012" s="15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3"/>
      <c r="B1013" s="16"/>
      <c r="C1013" s="16"/>
      <c r="D1013" s="16"/>
      <c r="E1013" s="15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3"/>
      <c r="B1014" s="16"/>
      <c r="C1014" s="16"/>
      <c r="D1014" s="16"/>
      <c r="E1014" s="15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3"/>
      <c r="B1015" s="16"/>
      <c r="C1015" s="16"/>
      <c r="D1015" s="16"/>
      <c r="E1015" s="15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3"/>
      <c r="B1016" s="16"/>
      <c r="C1016" s="16"/>
      <c r="D1016" s="16"/>
      <c r="E1016" s="15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3"/>
      <c r="B1017" s="16"/>
      <c r="C1017" s="16"/>
      <c r="D1017" s="16"/>
      <c r="E1017" s="15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3"/>
      <c r="B1018" s="16"/>
      <c r="C1018" s="16"/>
      <c r="D1018" s="16"/>
      <c r="E1018" s="15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3"/>
      <c r="B1019" s="16"/>
      <c r="C1019" s="16"/>
      <c r="D1019" s="16"/>
      <c r="E1019" s="15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3"/>
      <c r="B1020" s="16"/>
      <c r="C1020" s="16"/>
      <c r="D1020" s="16"/>
      <c r="E1020" s="15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3"/>
      <c r="B1021" s="16"/>
      <c r="C1021" s="16"/>
      <c r="D1021" s="16"/>
      <c r="E1021" s="15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>
      <c r="A1022" s="3"/>
      <c r="B1022" s="16"/>
      <c r="C1022" s="16"/>
      <c r="D1022" s="16"/>
      <c r="E1022" s="15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>
      <c r="A1023" s="3"/>
      <c r="B1023" s="16"/>
      <c r="C1023" s="16"/>
      <c r="D1023" s="16"/>
      <c r="E1023" s="15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>
      <c r="A1024" s="3"/>
      <c r="B1024" s="16"/>
      <c r="C1024" s="16"/>
      <c r="D1024" s="16"/>
      <c r="E1024" s="15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>
      <c r="A1025" s="3"/>
      <c r="B1025" s="16"/>
      <c r="C1025" s="16"/>
      <c r="D1025" s="16"/>
      <c r="E1025" s="15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>
      <c r="A1026" s="3"/>
      <c r="B1026" s="16"/>
      <c r="C1026" s="16"/>
      <c r="D1026" s="16"/>
      <c r="E1026" s="15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>
      <c r="A1027" s="3"/>
      <c r="B1027" s="16"/>
      <c r="C1027" s="16"/>
      <c r="D1027" s="16"/>
      <c r="E1027" s="15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>
      <c r="A1028" s="3"/>
      <c r="B1028" s="16"/>
      <c r="C1028" s="16"/>
      <c r="D1028" s="16"/>
      <c r="E1028" s="15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>
      <c r="A1029" s="3"/>
      <c r="B1029" s="16"/>
      <c r="C1029" s="16"/>
      <c r="D1029" s="16"/>
      <c r="E1029" s="15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>
      <c r="A1030" s="3"/>
      <c r="B1030" s="16"/>
      <c r="C1030" s="16"/>
      <c r="D1030" s="16"/>
      <c r="E1030" s="15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>
      <c r="A1031" s="3"/>
      <c r="B1031" s="16"/>
      <c r="C1031" s="16"/>
      <c r="D1031" s="16"/>
      <c r="E1031" s="15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>
      <c r="A1032" s="3"/>
      <c r="B1032" s="16"/>
      <c r="C1032" s="16"/>
      <c r="D1032" s="16"/>
      <c r="E1032" s="15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>
      <c r="A1033" s="3"/>
      <c r="B1033" s="16"/>
      <c r="C1033" s="16"/>
      <c r="D1033" s="16"/>
      <c r="E1033" s="15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>
      <c r="A1034" s="3"/>
      <c r="B1034" s="16"/>
      <c r="C1034" s="16"/>
      <c r="D1034" s="16"/>
      <c r="E1034" s="15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>
      <c r="A1035" s="3"/>
      <c r="B1035" s="16"/>
      <c r="C1035" s="16"/>
      <c r="D1035" s="16"/>
      <c r="E1035" s="15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>
      <c r="A1036" s="3"/>
      <c r="B1036" s="16"/>
      <c r="C1036" s="16"/>
      <c r="D1036" s="16"/>
      <c r="E1036" s="15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>
      <c r="A1037" s="3"/>
      <c r="B1037" s="16"/>
      <c r="C1037" s="16"/>
      <c r="D1037" s="16"/>
      <c r="E1037" s="15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</sheetData>
  <mergeCells count="2">
    <mergeCell ref="A47:E47"/>
    <mergeCell ref="A52:E5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43.63"/>
    <col customWidth="1" min="3" max="3" width="15.75"/>
  </cols>
  <sheetData>
    <row r="1">
      <c r="A1" s="19" t="s">
        <v>61</v>
      </c>
    </row>
    <row r="2">
      <c r="A2" s="20" t="s">
        <v>62</v>
      </c>
      <c r="B2" s="21" t="s">
        <v>63</v>
      </c>
    </row>
    <row r="3">
      <c r="A3" s="21"/>
      <c r="B3" s="21"/>
    </row>
    <row r="4">
      <c r="A4" s="20" t="s">
        <v>64</v>
      </c>
      <c r="B4" s="21" t="s">
        <v>65</v>
      </c>
      <c r="C4" s="21" t="s">
        <v>66</v>
      </c>
    </row>
    <row r="5">
      <c r="B5" s="21" t="s">
        <v>67</v>
      </c>
      <c r="C5" s="21" t="s">
        <v>68</v>
      </c>
    </row>
    <row r="6">
      <c r="B6" s="21" t="s">
        <v>69</v>
      </c>
      <c r="C6" s="21" t="s">
        <v>70</v>
      </c>
    </row>
    <row r="8">
      <c r="A8" s="20" t="s">
        <v>71</v>
      </c>
      <c r="B8" s="22"/>
    </row>
    <row r="9">
      <c r="A9" s="21" t="s">
        <v>72</v>
      </c>
      <c r="B9" s="23" t="s">
        <v>73</v>
      </c>
    </row>
    <row r="10">
      <c r="B10" s="21" t="s">
        <v>74</v>
      </c>
      <c r="C10" s="21" t="s">
        <v>75</v>
      </c>
    </row>
    <row r="12">
      <c r="B12" s="21" t="s">
        <v>76</v>
      </c>
      <c r="C12" s="21" t="s">
        <v>77</v>
      </c>
    </row>
    <row r="13">
      <c r="B13" s="21" t="s">
        <v>78</v>
      </c>
      <c r="C13" s="24">
        <v>953.0</v>
      </c>
      <c r="D13" s="20" t="s">
        <v>79</v>
      </c>
    </row>
    <row r="15">
      <c r="A15" s="21" t="s">
        <v>80</v>
      </c>
      <c r="B15" s="23" t="s">
        <v>81</v>
      </c>
    </row>
    <row r="16">
      <c r="B16" s="21" t="s">
        <v>82</v>
      </c>
      <c r="C16" s="21" t="s">
        <v>83</v>
      </c>
    </row>
    <row r="18">
      <c r="B18" s="21" t="s">
        <v>84</v>
      </c>
      <c r="C18" s="21" t="s">
        <v>85</v>
      </c>
    </row>
    <row r="19">
      <c r="B19" s="21" t="s">
        <v>86</v>
      </c>
      <c r="C19" s="24">
        <v>154.0</v>
      </c>
      <c r="D19" s="20" t="s">
        <v>79</v>
      </c>
    </row>
    <row r="21">
      <c r="A21" s="21" t="s">
        <v>87</v>
      </c>
      <c r="B21" s="23" t="s">
        <v>88</v>
      </c>
    </row>
    <row r="23">
      <c r="B23" s="21" t="s">
        <v>89</v>
      </c>
      <c r="C23" s="21" t="s">
        <v>90</v>
      </c>
    </row>
    <row r="24">
      <c r="B24" s="21" t="s">
        <v>91</v>
      </c>
      <c r="C24" s="24">
        <v>972.0</v>
      </c>
      <c r="D24" s="20" t="s">
        <v>79</v>
      </c>
    </row>
    <row r="26">
      <c r="B26" s="25" t="s">
        <v>92</v>
      </c>
      <c r="C26" s="26">
        <f>SUM(C13,C19,C24)</f>
        <v>2079</v>
      </c>
      <c r="D26" s="25" t="s">
        <v>79</v>
      </c>
    </row>
    <row r="29">
      <c r="A29" s="19" t="s">
        <v>93</v>
      </c>
    </row>
    <row r="30">
      <c r="A30" s="21" t="s">
        <v>94</v>
      </c>
      <c r="B30" s="23" t="s">
        <v>95</v>
      </c>
    </row>
    <row r="31">
      <c r="B31" s="21" t="s">
        <v>96</v>
      </c>
      <c r="C31" s="21" t="s">
        <v>97</v>
      </c>
    </row>
    <row r="33">
      <c r="B33" s="21" t="s">
        <v>98</v>
      </c>
      <c r="C33" s="21" t="s">
        <v>99</v>
      </c>
    </row>
    <row r="34">
      <c r="B34" s="21" t="s">
        <v>100</v>
      </c>
      <c r="C34" s="24">
        <v>1561.0</v>
      </c>
      <c r="D34" s="20" t="s">
        <v>79</v>
      </c>
    </row>
    <row r="36">
      <c r="A36" s="21" t="s">
        <v>101</v>
      </c>
      <c r="B36" s="23" t="s">
        <v>102</v>
      </c>
    </row>
    <row r="37">
      <c r="B37" s="21" t="s">
        <v>103</v>
      </c>
      <c r="C37" s="21" t="s">
        <v>104</v>
      </c>
    </row>
    <row r="39">
      <c r="B39" s="21" t="s">
        <v>105</v>
      </c>
      <c r="C39" s="21" t="s">
        <v>106</v>
      </c>
    </row>
    <row r="40">
      <c r="B40" s="21" t="s">
        <v>107</v>
      </c>
      <c r="C40" s="24">
        <v>2500.0</v>
      </c>
      <c r="D40" s="20" t="s">
        <v>79</v>
      </c>
    </row>
    <row r="42">
      <c r="A42" s="21" t="s">
        <v>108</v>
      </c>
      <c r="C42" s="24">
        <v>223.0</v>
      </c>
      <c r="D42" s="20" t="s">
        <v>79</v>
      </c>
    </row>
    <row r="44">
      <c r="B44" s="25" t="s">
        <v>92</v>
      </c>
      <c r="C44" s="26">
        <f>SUM(C34,C40,C42)</f>
        <v>4284</v>
      </c>
      <c r="D44" s="25" t="s">
        <v>79</v>
      </c>
    </row>
    <row r="47">
      <c r="A47" s="19" t="s">
        <v>20</v>
      </c>
    </row>
    <row r="48">
      <c r="A48" s="21" t="s">
        <v>94</v>
      </c>
      <c r="B48" s="23" t="s">
        <v>109</v>
      </c>
    </row>
    <row r="49">
      <c r="B49" s="21" t="s">
        <v>96</v>
      </c>
      <c r="C49" s="21" t="s">
        <v>97</v>
      </c>
    </row>
    <row r="51">
      <c r="B51" s="21" t="s">
        <v>110</v>
      </c>
      <c r="C51" s="21" t="s">
        <v>111</v>
      </c>
    </row>
    <row r="52">
      <c r="B52" s="21" t="s">
        <v>112</v>
      </c>
      <c r="C52" s="20">
        <v>687.0</v>
      </c>
      <c r="D52" s="20" t="s">
        <v>79</v>
      </c>
    </row>
    <row r="54">
      <c r="A54" s="21" t="s">
        <v>101</v>
      </c>
      <c r="B54" s="23" t="s">
        <v>113</v>
      </c>
    </row>
    <row r="55">
      <c r="B55" s="21" t="s">
        <v>103</v>
      </c>
      <c r="C55" s="21" t="s">
        <v>104</v>
      </c>
    </row>
    <row r="57">
      <c r="B57" s="21" t="s">
        <v>114</v>
      </c>
      <c r="C57" s="21" t="s">
        <v>115</v>
      </c>
    </row>
    <row r="58">
      <c r="B58" s="21" t="s">
        <v>116</v>
      </c>
      <c r="C58" s="24">
        <v>81.0</v>
      </c>
      <c r="D58" s="20" t="s">
        <v>79</v>
      </c>
    </row>
    <row r="60">
      <c r="A60" s="21" t="s">
        <v>108</v>
      </c>
      <c r="C60" s="24">
        <v>48.0</v>
      </c>
      <c r="D60" s="20" t="s">
        <v>79</v>
      </c>
    </row>
    <row r="62">
      <c r="B62" s="25" t="s">
        <v>92</v>
      </c>
      <c r="C62" s="26">
        <f>SUM(C52,C58,C60)</f>
        <v>816</v>
      </c>
      <c r="D62" s="25" t="s">
        <v>79</v>
      </c>
    </row>
    <row r="65">
      <c r="A65" s="19" t="s">
        <v>117</v>
      </c>
    </row>
    <row r="66">
      <c r="A66" s="21" t="s">
        <v>94</v>
      </c>
      <c r="B66" s="23" t="s">
        <v>118</v>
      </c>
    </row>
    <row r="67">
      <c r="B67" s="21" t="s">
        <v>96</v>
      </c>
      <c r="C67" s="21" t="s">
        <v>97</v>
      </c>
    </row>
    <row r="69">
      <c r="B69" s="21" t="s">
        <v>119</v>
      </c>
      <c r="C69" s="21" t="s">
        <v>120</v>
      </c>
    </row>
    <row r="70">
      <c r="B70" s="21" t="s">
        <v>121</v>
      </c>
      <c r="C70" s="24">
        <v>9887.0</v>
      </c>
      <c r="D70" s="20" t="s">
        <v>79</v>
      </c>
    </row>
    <row r="72">
      <c r="A72" s="21" t="s">
        <v>101</v>
      </c>
      <c r="B72" s="23" t="s">
        <v>122</v>
      </c>
    </row>
    <row r="73">
      <c r="B73" s="21" t="s">
        <v>103</v>
      </c>
      <c r="C73" s="21" t="s">
        <v>104</v>
      </c>
    </row>
    <row r="75">
      <c r="B75" s="21" t="s">
        <v>123</v>
      </c>
      <c r="C75" s="21" t="s">
        <v>124</v>
      </c>
    </row>
    <row r="76">
      <c r="B76" s="21" t="s">
        <v>125</v>
      </c>
      <c r="C76" s="24">
        <v>3489.0</v>
      </c>
      <c r="D76" s="20" t="s">
        <v>79</v>
      </c>
    </row>
    <row r="78">
      <c r="A78" s="21" t="s">
        <v>108</v>
      </c>
      <c r="C78" s="24">
        <v>48.0</v>
      </c>
      <c r="D78" s="20" t="s">
        <v>79</v>
      </c>
    </row>
    <row r="80">
      <c r="B80" s="25" t="s">
        <v>92</v>
      </c>
      <c r="C80" s="26">
        <f>SUM(C70,C76,C78)</f>
        <v>13424</v>
      </c>
      <c r="D80" s="25" t="s">
        <v>79</v>
      </c>
    </row>
    <row r="83">
      <c r="A83" s="19" t="s">
        <v>33</v>
      </c>
    </row>
    <row r="84">
      <c r="A84" s="21" t="s">
        <v>94</v>
      </c>
      <c r="B84" s="23" t="s">
        <v>126</v>
      </c>
    </row>
    <row r="85">
      <c r="B85" s="21" t="s">
        <v>127</v>
      </c>
      <c r="C85" s="21" t="s">
        <v>128</v>
      </c>
    </row>
    <row r="87">
      <c r="B87" s="21" t="s">
        <v>129</v>
      </c>
      <c r="C87" s="21" t="s">
        <v>130</v>
      </c>
    </row>
    <row r="88">
      <c r="B88" s="21" t="s">
        <v>131</v>
      </c>
      <c r="C88" s="24">
        <v>950.0</v>
      </c>
      <c r="D88" s="20" t="s">
        <v>79</v>
      </c>
    </row>
    <row r="90">
      <c r="B90" s="25" t="s">
        <v>92</v>
      </c>
      <c r="C90" s="26">
        <f>SUM(C88)</f>
        <v>950</v>
      </c>
      <c r="D90" s="25" t="s">
        <v>79</v>
      </c>
    </row>
    <row r="93">
      <c r="A93" s="19" t="s">
        <v>132</v>
      </c>
    </row>
    <row r="94">
      <c r="A94" s="21" t="s">
        <v>133</v>
      </c>
      <c r="B94" s="22" t="s">
        <v>134</v>
      </c>
    </row>
    <row r="95">
      <c r="B95" s="21" t="s">
        <v>135</v>
      </c>
      <c r="C95" s="21" t="s">
        <v>136</v>
      </c>
    </row>
    <row r="97">
      <c r="B97" s="21" t="s">
        <v>137</v>
      </c>
      <c r="C97" s="20">
        <v>230.0</v>
      </c>
      <c r="D97" s="20" t="s">
        <v>79</v>
      </c>
    </row>
    <row r="99">
      <c r="A99" s="21" t="s">
        <v>138</v>
      </c>
      <c r="B99" s="21" t="s">
        <v>139</v>
      </c>
    </row>
    <row r="100">
      <c r="B100" s="21" t="s">
        <v>140</v>
      </c>
      <c r="C100" s="21" t="s">
        <v>141</v>
      </c>
    </row>
    <row r="102">
      <c r="B102" s="21" t="s">
        <v>142</v>
      </c>
      <c r="C102" s="20">
        <v>523.0</v>
      </c>
      <c r="D102" s="20" t="s">
        <v>79</v>
      </c>
    </row>
    <row r="104">
      <c r="A104" s="21" t="s">
        <v>143</v>
      </c>
      <c r="B104" s="23" t="s">
        <v>144</v>
      </c>
    </row>
    <row r="105">
      <c r="B105" s="21" t="s">
        <v>145</v>
      </c>
      <c r="C105" s="21" t="s">
        <v>146</v>
      </c>
    </row>
    <row r="107">
      <c r="B107" s="21" t="s">
        <v>147</v>
      </c>
      <c r="C107" s="21" t="s">
        <v>148</v>
      </c>
    </row>
    <row r="108">
      <c r="B108" s="21" t="s">
        <v>149</v>
      </c>
      <c r="C108" s="24">
        <v>540.0</v>
      </c>
      <c r="D108" s="20" t="s">
        <v>79</v>
      </c>
    </row>
    <row r="111">
      <c r="B111" s="25" t="s">
        <v>92</v>
      </c>
      <c r="C111" s="26">
        <f>SUM(C97,C102,C108)</f>
        <v>1293</v>
      </c>
      <c r="D111" s="25" t="s">
        <v>79</v>
      </c>
    </row>
    <row r="114">
      <c r="A114" s="19" t="s">
        <v>150</v>
      </c>
    </row>
    <row r="115">
      <c r="A115" s="21" t="s">
        <v>94</v>
      </c>
      <c r="B115" s="23" t="s">
        <v>151</v>
      </c>
    </row>
    <row r="116">
      <c r="B116" s="21" t="s">
        <v>152</v>
      </c>
      <c r="C116" s="21" t="s">
        <v>153</v>
      </c>
    </row>
    <row r="118">
      <c r="B118" s="21" t="s">
        <v>154</v>
      </c>
      <c r="C118" s="21" t="s">
        <v>155</v>
      </c>
    </row>
    <row r="119">
      <c r="B119" s="21" t="s">
        <v>156</v>
      </c>
      <c r="C119" s="24">
        <v>68.0</v>
      </c>
      <c r="D119" s="20" t="s">
        <v>79</v>
      </c>
    </row>
    <row r="121">
      <c r="B121" s="25" t="s">
        <v>92</v>
      </c>
      <c r="C121" s="26">
        <f>SUM(C119)</f>
        <v>68</v>
      </c>
      <c r="D121" s="25" t="s">
        <v>79</v>
      </c>
    </row>
    <row r="124">
      <c r="A124" s="19" t="s">
        <v>157</v>
      </c>
    </row>
    <row r="125">
      <c r="A125" s="21" t="s">
        <v>94</v>
      </c>
      <c r="B125" s="23" t="s">
        <v>158</v>
      </c>
    </row>
    <row r="126">
      <c r="B126" s="21" t="s">
        <v>152</v>
      </c>
      <c r="C126" s="21" t="s">
        <v>153</v>
      </c>
    </row>
    <row r="128">
      <c r="B128" s="21" t="s">
        <v>159</v>
      </c>
      <c r="C128" s="21" t="s">
        <v>160</v>
      </c>
    </row>
    <row r="129">
      <c r="B129" s="21" t="s">
        <v>161</v>
      </c>
      <c r="C129" s="24">
        <v>22.0</v>
      </c>
      <c r="D129" s="20" t="s">
        <v>79</v>
      </c>
    </row>
    <row r="131">
      <c r="B131" s="25" t="s">
        <v>92</v>
      </c>
      <c r="C131" s="26">
        <f>SUM(C129)</f>
        <v>22</v>
      </c>
      <c r="D131" s="25" t="s">
        <v>79</v>
      </c>
    </row>
    <row r="134">
      <c r="A134" s="19" t="s">
        <v>162</v>
      </c>
    </row>
    <row r="135">
      <c r="A135" s="21" t="s">
        <v>163</v>
      </c>
      <c r="B135" s="23" t="s">
        <v>164</v>
      </c>
    </row>
    <row r="136">
      <c r="B136" s="21" t="s">
        <v>165</v>
      </c>
      <c r="C136" s="21" t="s">
        <v>166</v>
      </c>
    </row>
    <row r="138">
      <c r="B138" s="21" t="s">
        <v>167</v>
      </c>
      <c r="C138" s="21" t="s">
        <v>168</v>
      </c>
    </row>
    <row r="139">
      <c r="B139" s="21" t="s">
        <v>169</v>
      </c>
      <c r="C139" s="24">
        <v>2775.0</v>
      </c>
      <c r="D139" s="20" t="s">
        <v>79</v>
      </c>
    </row>
    <row r="141">
      <c r="B141" s="25" t="s">
        <v>92</v>
      </c>
      <c r="C141" s="26">
        <f>C139</f>
        <v>2775</v>
      </c>
      <c r="D141" s="25" t="s">
        <v>79</v>
      </c>
    </row>
    <row r="144">
      <c r="A144" s="19" t="s">
        <v>51</v>
      </c>
    </row>
    <row r="145">
      <c r="A145" s="21" t="s">
        <v>170</v>
      </c>
      <c r="B145" s="23" t="s">
        <v>171</v>
      </c>
    </row>
    <row r="146">
      <c r="B146" s="21" t="s">
        <v>172</v>
      </c>
      <c r="C146" s="21" t="s">
        <v>173</v>
      </c>
    </row>
    <row r="148">
      <c r="B148" s="21" t="s">
        <v>174</v>
      </c>
      <c r="C148" s="21" t="s">
        <v>175</v>
      </c>
    </row>
    <row r="149">
      <c r="B149" s="21" t="s">
        <v>176</v>
      </c>
      <c r="C149" s="24">
        <v>3340.0</v>
      </c>
      <c r="D149" s="20" t="s">
        <v>79</v>
      </c>
    </row>
    <row r="151">
      <c r="B151" s="25" t="s">
        <v>92</v>
      </c>
      <c r="C151" s="26">
        <f>C149</f>
        <v>3340</v>
      </c>
      <c r="D151" s="25" t="s">
        <v>79</v>
      </c>
    </row>
  </sheetData>
  <mergeCells count="10">
    <mergeCell ref="A124:J124"/>
    <mergeCell ref="A134:J134"/>
    <mergeCell ref="A144:J144"/>
    <mergeCell ref="A1:J1"/>
    <mergeCell ref="A29:J29"/>
    <mergeCell ref="A47:J47"/>
    <mergeCell ref="A65:J65"/>
    <mergeCell ref="A83:J83"/>
    <mergeCell ref="A93:J93"/>
    <mergeCell ref="A114:J114"/>
  </mergeCells>
  <hyperlinks>
    <hyperlink r:id="rId1" ref="B9"/>
    <hyperlink r:id="rId2" ref="B15"/>
    <hyperlink r:id="rId3" ref="B21"/>
    <hyperlink r:id="rId4" ref="B30"/>
    <hyperlink r:id="rId5" ref="B36"/>
    <hyperlink r:id="rId6" ref="B48"/>
    <hyperlink r:id="rId7" ref="B54"/>
    <hyperlink r:id="rId8" ref="B66"/>
    <hyperlink r:id="rId9" ref="B72"/>
    <hyperlink r:id="rId10" ref="B84"/>
    <hyperlink r:id="rId11" ref="B104"/>
    <hyperlink r:id="rId12" ref="B115"/>
    <hyperlink r:id="rId13" ref="B125"/>
    <hyperlink r:id="rId14" ref="B135"/>
    <hyperlink r:id="rId15" location="propertyMapView" ref="B145"/>
  </hyperlinks>
  <drawing r:id="rId16"/>
</worksheet>
</file>